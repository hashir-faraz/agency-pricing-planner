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PI Scorecar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<sst xmlns="http://schemas.openxmlformats.org/spreadsheetml/2006/main" count="55" uniqueCount="31">
  <si>
    <t xml:space="preserve">CONTENT KPI SCORECARD — SPORTS MEDIA BRAND</t>
  </si>
  <si>
    <t xml:space="preserve">Monthly publishing targets vs actuals by platform. Blue = target (editable). Posted = update as you publish. Progress auto-colours.</t>
  </si>
  <si>
    <t xml:space="preserve">YouTube</t>
  </si>
  <si>
    <t xml:space="preserve">Instagram</t>
  </si>
  <si>
    <t xml:space="preserve">TikTok</t>
  </si>
  <si>
    <t xml:space="preserve">X (Twitter)</t>
  </si>
  <si>
    <t xml:space="preserve">Facebook</t>
  </si>
  <si>
    <t xml:space="preserve">Website</t>
  </si>
  <si>
    <t xml:space="preserve">Pillar</t>
  </si>
  <si>
    <t xml:space="preserve">Content Series</t>
  </si>
  <si>
    <t xml:space="preserve">Target</t>
  </si>
  <si>
    <t xml:space="preserve">Posted</t>
  </si>
  <si>
    <t xml:space="preserve">Progress</t>
  </si>
  <si>
    <t xml:space="preserve">Flagship Show</t>
  </si>
  <si>
    <t xml:space="preserve">Weekly Flagship Episode</t>
  </si>
  <si>
    <t xml:space="preserve">Episode Clips &amp; Shorts</t>
  </si>
  <si>
    <t xml:space="preserve">Thematic Programming</t>
  </si>
  <si>
    <t xml:space="preserve">Rivalries Series</t>
  </si>
  <si>
    <t xml:space="preserve">Collabs &amp; Guest Features</t>
  </si>
  <si>
    <t xml:space="preserve">Editorial Explainers</t>
  </si>
  <si>
    <t xml:space="preserve">Legends &amp; Archive</t>
  </si>
  <si>
    <t xml:space="preserve">Fundamentals</t>
  </si>
  <si>
    <t xml:space="preserve">Matchday Stats &amp; Graphics</t>
  </si>
  <si>
    <t xml:space="preserve">Goal / Play of the Week</t>
  </si>
  <si>
    <t xml:space="preserve">Fixtures &amp; Results</t>
  </si>
  <si>
    <t xml:space="preserve">Team of the Week</t>
  </si>
  <si>
    <t xml:space="preserve">Editorial</t>
  </si>
  <si>
    <t xml:space="preserve">Viral Memes &amp; Hot Topics</t>
  </si>
  <si>
    <t xml:space="preserve">Site Articles with Call-Out</t>
  </si>
  <si>
    <t xml:space="preserve">Hype &amp; Countdown Posts</t>
  </si>
  <si>
    <t xml:space="preserve">PLATFORM TOTALS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</si>
</sst>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2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30"/>
    <col collapsed="false" customWidth="true" hidden="false" outlineLevel="0" max="20" min="3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C4" s="3" t="s">
        <v>2</v>
      </c>
      <c r="D4" s="3"/>
      <c r="E4" s="3"/>
      <c r="F4" s="3" t="s">
        <v>3</v>
      </c>
      <c r="G4" s="3"/>
      <c r="H4" s="3"/>
      <c r="I4" s="3" t="s">
        <v>4</v>
      </c>
      <c r="J4" s="3"/>
      <c r="K4" s="3"/>
      <c r="L4" s="3" t="s">
        <v>5</v>
      </c>
      <c r="M4" s="3"/>
      <c r="N4" s="3"/>
      <c r="O4" s="3" t="s">
        <v>6</v>
      </c>
      <c r="P4" s="3"/>
      <c r="Q4" s="3"/>
      <c r="R4" s="3" t="s">
        <v>7</v>
      </c>
      <c r="S4" s="3"/>
      <c r="T4" s="3"/>
    </row>
    <row r="5" customFormat="false" ht="15" hidden="false" customHeight="false" outlineLevel="0" collapsed="false">
      <c r="A5" s="4" t="s">
        <v>8</v>
      </c>
      <c r="B5" s="4" t="s">
        <v>9</v>
      </c>
      <c r="C5" s="5" t="s">
        <v>10</v>
      </c>
      <c r="D5" s="5" t="s">
        <v>11</v>
      </c>
      <c r="E5" s="5" t="s">
        <v>12</v>
      </c>
      <c r="F5" s="5" t="s">
        <v>10</v>
      </c>
      <c r="G5" s="5" t="s">
        <v>11</v>
      </c>
      <c r="H5" s="5" t="s">
        <v>12</v>
      </c>
      <c r="I5" s="5" t="s">
        <v>10</v>
      </c>
      <c r="J5" s="5" t="s">
        <v>11</v>
      </c>
      <c r="K5" s="5" t="s">
        <v>12</v>
      </c>
      <c r="L5" s="5" t="s">
        <v>10</v>
      </c>
      <c r="M5" s="5" t="s">
        <v>11</v>
      </c>
      <c r="N5" s="5" t="s">
        <v>12</v>
      </c>
      <c r="O5" s="5" t="s">
        <v>10</v>
      </c>
      <c r="P5" s="5" t="s">
        <v>11</v>
      </c>
      <c r="Q5" s="5" t="s">
        <v>12</v>
      </c>
      <c r="R5" s="5" t="s">
        <v>10</v>
      </c>
      <c r="S5" s="5" t="s">
        <v>11</v>
      </c>
      <c r="T5" s="5" t="s">
        <v>12</v>
      </c>
    </row>
    <row r="6" customFormat="false" ht="15" hidden="false" customHeight="false" outlineLevel="0" collapsed="false">
      <c r="A6" s="6" t="s">
        <v>13</v>
      </c>
      <c r="B6" s="6" t="s">
        <v>14</v>
      </c>
      <c r="C6" s="7" t="n">
        <v>1</v>
      </c>
      <c r="D6" s="8" t="n">
        <v>1</v>
      </c>
      <c r="E6" s="9" t="n">
        <f aca="false">D6/C6</f>
        <v>1</v>
      </c>
      <c r="F6" s="7" t="n">
        <v>5</v>
      </c>
      <c r="G6" s="8" t="n">
        <v>3</v>
      </c>
      <c r="H6" s="9" t="n">
        <f aca="false">G6/F6</f>
        <v>0.6</v>
      </c>
      <c r="I6" s="7" t="n">
        <v>15</v>
      </c>
      <c r="J6" s="8" t="n">
        <v>9</v>
      </c>
      <c r="K6" s="9" t="n">
        <f aca="false">J6/I6</f>
        <v>0.6</v>
      </c>
      <c r="L6" s="7" t="n">
        <v>6</v>
      </c>
      <c r="M6" s="8" t="n">
        <v>2</v>
      </c>
      <c r="N6" s="9" t="n">
        <f aca="false">M6/L6</f>
        <v>0.333333333333333</v>
      </c>
      <c r="O6" s="7" t="n">
        <v>4</v>
      </c>
      <c r="P6" s="8" t="n">
        <v>1</v>
      </c>
      <c r="Q6" s="9" t="n">
        <f aca="false">P6/O6</f>
        <v>0.25</v>
      </c>
      <c r="R6" s="7" t="n">
        <v>1</v>
      </c>
      <c r="S6" s="8" t="n">
        <v>1</v>
      </c>
      <c r="T6" s="9" t="n">
        <f aca="false">S6/R6</f>
        <v>1</v>
      </c>
    </row>
    <row r="7" customFormat="false" ht="15" hidden="false" customHeight="false" outlineLevel="0" collapsed="false">
      <c r="A7" s="6" t="s">
        <v>13</v>
      </c>
      <c r="B7" s="6" t="s">
        <v>15</v>
      </c>
      <c r="C7" s="7" t="n">
        <v>15</v>
      </c>
      <c r="D7" s="8" t="n">
        <v>8</v>
      </c>
      <c r="E7" s="9" t="n">
        <f aca="false">D7/C7</f>
        <v>0.533333333333333</v>
      </c>
      <c r="F7" s="7" t="n">
        <v>15</v>
      </c>
      <c r="G7" s="8" t="n">
        <v>11</v>
      </c>
      <c r="H7" s="9" t="n">
        <f aca="false">G7/F7</f>
        <v>0.733333333333333</v>
      </c>
      <c r="I7" s="7" t="n">
        <v>15</v>
      </c>
      <c r="J7" s="8" t="n">
        <v>12</v>
      </c>
      <c r="K7" s="9" t="n">
        <f aca="false">J7/I7</f>
        <v>0.8</v>
      </c>
      <c r="L7" s="7" t="n">
        <v>15</v>
      </c>
      <c r="M7" s="8" t="n">
        <v>6</v>
      </c>
      <c r="N7" s="9" t="n">
        <f aca="false">M7/L7</f>
        <v>0.4</v>
      </c>
      <c r="O7" s="7" t="n">
        <v>8</v>
      </c>
      <c r="P7" s="8" t="n">
        <v>3</v>
      </c>
      <c r="Q7" s="9" t="n">
        <f aca="false">P7/O7</f>
        <v>0.375</v>
      </c>
      <c r="R7" s="7"/>
      <c r="S7" s="8"/>
      <c r="T7" s="10"/>
    </row>
    <row r="8" customFormat="false" ht="15" hidden="false" customHeight="false" outlineLevel="0" collapsed="false">
      <c r="A8" s="6" t="s">
        <v>16</v>
      </c>
      <c r="B8" s="6" t="s">
        <v>17</v>
      </c>
      <c r="C8" s="7" t="n">
        <v>4</v>
      </c>
      <c r="D8" s="8" t="n">
        <v>2</v>
      </c>
      <c r="E8" s="9" t="n">
        <f aca="false">D8/C8</f>
        <v>0.5</v>
      </c>
      <c r="F8" s="7" t="n">
        <v>10</v>
      </c>
      <c r="G8" s="8" t="n">
        <v>5</v>
      </c>
      <c r="H8" s="9" t="n">
        <f aca="false">G8/F8</f>
        <v>0.5</v>
      </c>
      <c r="I8" s="7" t="n">
        <v>3</v>
      </c>
      <c r="J8" s="8" t="n">
        <v>3</v>
      </c>
      <c r="K8" s="9" t="n">
        <f aca="false">J8/I8</f>
        <v>1</v>
      </c>
      <c r="L8" s="7" t="n">
        <v>4</v>
      </c>
      <c r="M8" s="8" t="n">
        <v>2</v>
      </c>
      <c r="N8" s="9" t="n">
        <f aca="false">M8/L8</f>
        <v>0.5</v>
      </c>
      <c r="O8" s="7" t="n">
        <v>3</v>
      </c>
      <c r="P8" s="8" t="n">
        <v>1</v>
      </c>
      <c r="Q8" s="9" t="n">
        <f aca="false">P8/O8</f>
        <v>0.333333333333333</v>
      </c>
      <c r="R8" s="7" t="n">
        <v>1</v>
      </c>
      <c r="S8" s="8" t="n">
        <v>0</v>
      </c>
      <c r="T8" s="9" t="n">
        <f aca="false">S8/R8</f>
        <v>0</v>
      </c>
    </row>
    <row r="9" customFormat="false" ht="15" hidden="false" customHeight="false" outlineLevel="0" collapsed="false">
      <c r="A9" s="6" t="s">
        <v>16</v>
      </c>
      <c r="B9" s="6" t="s">
        <v>18</v>
      </c>
      <c r="C9" s="7" t="n">
        <v>2</v>
      </c>
      <c r="D9" s="8" t="n">
        <v>1</v>
      </c>
      <c r="E9" s="9" t="n">
        <f aca="false">D9/C9</f>
        <v>0.5</v>
      </c>
      <c r="F9" s="7" t="n">
        <v>2</v>
      </c>
      <c r="G9" s="8" t="n">
        <v>2</v>
      </c>
      <c r="H9" s="9" t="n">
        <f aca="false">G9/F9</f>
        <v>1</v>
      </c>
      <c r="I9" s="7" t="n">
        <v>5</v>
      </c>
      <c r="J9" s="8" t="n">
        <v>2</v>
      </c>
      <c r="K9" s="9" t="n">
        <f aca="false">J9/I9</f>
        <v>0.4</v>
      </c>
      <c r="L9" s="7" t="n">
        <v>2</v>
      </c>
      <c r="M9" s="8" t="n">
        <v>1</v>
      </c>
      <c r="N9" s="9" t="n">
        <f aca="false">M9/L9</f>
        <v>0.5</v>
      </c>
      <c r="O9" s="7" t="n">
        <v>2</v>
      </c>
      <c r="P9" s="8" t="n">
        <v>0</v>
      </c>
      <c r="Q9" s="9" t="n">
        <f aca="false">P9/O9</f>
        <v>0</v>
      </c>
      <c r="R9" s="7"/>
      <c r="S9" s="8"/>
      <c r="T9" s="10"/>
    </row>
    <row r="10" customFormat="false" ht="15" hidden="false" customHeight="false" outlineLevel="0" collapsed="false">
      <c r="A10" s="6" t="s">
        <v>16</v>
      </c>
      <c r="B10" s="6" t="s">
        <v>19</v>
      </c>
      <c r="C10" s="7" t="n">
        <v>1</v>
      </c>
      <c r="D10" s="8" t="n">
        <v>0</v>
      </c>
      <c r="E10" s="9" t="n">
        <f aca="false">D10/C10</f>
        <v>0</v>
      </c>
      <c r="F10" s="7" t="n">
        <v>4</v>
      </c>
      <c r="G10" s="8" t="n">
        <v>2</v>
      </c>
      <c r="H10" s="9" t="n">
        <f aca="false">G10/F10</f>
        <v>0.5</v>
      </c>
      <c r="I10" s="7" t="n">
        <v>4</v>
      </c>
      <c r="J10" s="8" t="n">
        <v>1</v>
      </c>
      <c r="K10" s="9" t="n">
        <f aca="false">J10/I10</f>
        <v>0.25</v>
      </c>
      <c r="L10" s="7" t="n">
        <v>1</v>
      </c>
      <c r="M10" s="8" t="n">
        <v>1</v>
      </c>
      <c r="N10" s="9" t="n">
        <f aca="false">M10/L10</f>
        <v>1</v>
      </c>
      <c r="O10" s="7" t="n">
        <v>2</v>
      </c>
      <c r="P10" s="8" t="n">
        <v>1</v>
      </c>
      <c r="Q10" s="9" t="n">
        <f aca="false">P10/O10</f>
        <v>0.5</v>
      </c>
      <c r="R10" s="7" t="n">
        <v>2</v>
      </c>
      <c r="S10" s="8" t="n">
        <v>1</v>
      </c>
      <c r="T10" s="9" t="n">
        <f aca="false">S10/R10</f>
        <v>0.5</v>
      </c>
    </row>
    <row r="11" customFormat="false" ht="15" hidden="false" customHeight="false" outlineLevel="0" collapsed="false">
      <c r="A11" s="6" t="s">
        <v>16</v>
      </c>
      <c r="B11" s="6" t="s">
        <v>20</v>
      </c>
      <c r="C11" s="7" t="n">
        <v>1</v>
      </c>
      <c r="D11" s="8" t="n">
        <v>1</v>
      </c>
      <c r="E11" s="9" t="n">
        <f aca="false">D11/C11</f>
        <v>1</v>
      </c>
      <c r="F11" s="7" t="n">
        <v>3</v>
      </c>
      <c r="G11" s="8" t="n">
        <v>1</v>
      </c>
      <c r="H11" s="9" t="n">
        <f aca="false">G11/F11</f>
        <v>0.333333333333333</v>
      </c>
      <c r="I11" s="7" t="n">
        <v>6</v>
      </c>
      <c r="J11" s="8" t="n">
        <v>2</v>
      </c>
      <c r="K11" s="9" t="n">
        <f aca="false">J11/I11</f>
        <v>0.333333333333333</v>
      </c>
      <c r="L11" s="7" t="n">
        <v>1</v>
      </c>
      <c r="M11" s="8" t="n">
        <v>0</v>
      </c>
      <c r="N11" s="9" t="n">
        <f aca="false">M11/L11</f>
        <v>0</v>
      </c>
      <c r="O11" s="7" t="n">
        <v>2</v>
      </c>
      <c r="P11" s="8" t="n">
        <v>1</v>
      </c>
      <c r="Q11" s="9" t="n">
        <f aca="false">P11/O11</f>
        <v>0.5</v>
      </c>
      <c r="R11" s="7" t="n">
        <v>1</v>
      </c>
      <c r="S11" s="8" t="n">
        <v>0</v>
      </c>
      <c r="T11" s="9" t="n">
        <f aca="false">S11/R11</f>
        <v>0</v>
      </c>
    </row>
    <row r="12" customFormat="false" ht="15" hidden="false" customHeight="false" outlineLevel="0" collapsed="false">
      <c r="A12" s="6" t="s">
        <v>21</v>
      </c>
      <c r="B12" s="6" t="s">
        <v>22</v>
      </c>
      <c r="C12" s="7"/>
      <c r="D12" s="8"/>
      <c r="E12" s="10"/>
      <c r="F12" s="7" t="n">
        <v>8</v>
      </c>
      <c r="G12" s="8" t="n">
        <v>6</v>
      </c>
      <c r="H12" s="9" t="n">
        <f aca="false">G12/F12</f>
        <v>0.75</v>
      </c>
      <c r="I12" s="7" t="n">
        <v>6</v>
      </c>
      <c r="J12" s="8" t="n">
        <v>4</v>
      </c>
      <c r="K12" s="9" t="n">
        <f aca="false">J12/I12</f>
        <v>0.666666666666667</v>
      </c>
      <c r="L12" s="7" t="n">
        <v>12</v>
      </c>
      <c r="M12" s="8" t="n">
        <v>9</v>
      </c>
      <c r="N12" s="9" t="n">
        <f aca="false">M12/L12</f>
        <v>0.75</v>
      </c>
      <c r="O12" s="7" t="n">
        <v>6</v>
      </c>
      <c r="P12" s="8" t="n">
        <v>3</v>
      </c>
      <c r="Q12" s="9" t="n">
        <f aca="false">P12/O12</f>
        <v>0.5</v>
      </c>
      <c r="R12" s="7"/>
      <c r="S12" s="8"/>
      <c r="T12" s="10"/>
    </row>
    <row r="13" customFormat="false" ht="15" hidden="false" customHeight="false" outlineLevel="0" collapsed="false">
      <c r="A13" s="6" t="s">
        <v>21</v>
      </c>
      <c r="B13" s="6" t="s">
        <v>23</v>
      </c>
      <c r="C13" s="7" t="n">
        <v>4</v>
      </c>
      <c r="D13" s="8" t="n">
        <v>3</v>
      </c>
      <c r="E13" s="9" t="n">
        <f aca="false">D13/C13</f>
        <v>0.75</v>
      </c>
      <c r="F13" s="7" t="n">
        <v>4</v>
      </c>
      <c r="G13" s="8" t="n">
        <v>4</v>
      </c>
      <c r="H13" s="9" t="n">
        <f aca="false">G13/F13</f>
        <v>1</v>
      </c>
      <c r="I13" s="7" t="n">
        <v>4</v>
      </c>
      <c r="J13" s="8" t="n">
        <v>3</v>
      </c>
      <c r="K13" s="9" t="n">
        <f aca="false">J13/I13</f>
        <v>0.75</v>
      </c>
      <c r="L13" s="7" t="n">
        <v>4</v>
      </c>
      <c r="M13" s="8" t="n">
        <v>2</v>
      </c>
      <c r="N13" s="9" t="n">
        <f aca="false">M13/L13</f>
        <v>0.5</v>
      </c>
      <c r="O13" s="7" t="n">
        <v>4</v>
      </c>
      <c r="P13" s="8" t="n">
        <v>2</v>
      </c>
      <c r="Q13" s="9" t="n">
        <f aca="false">P13/O13</f>
        <v>0.5</v>
      </c>
      <c r="R13" s="7"/>
      <c r="S13" s="8"/>
      <c r="T13" s="10"/>
    </row>
    <row r="14" customFormat="false" ht="15" hidden="false" customHeight="false" outlineLevel="0" collapsed="false">
      <c r="A14" s="6" t="s">
        <v>21</v>
      </c>
      <c r="B14" s="6" t="s">
        <v>24</v>
      </c>
      <c r="C14" s="7"/>
      <c r="D14" s="8"/>
      <c r="E14" s="10"/>
      <c r="F14" s="7" t="n">
        <v>4</v>
      </c>
      <c r="G14" s="8" t="n">
        <v>4</v>
      </c>
      <c r="H14" s="9" t="n">
        <f aca="false">G14/F14</f>
        <v>1</v>
      </c>
      <c r="I14" s="7"/>
      <c r="J14" s="8"/>
      <c r="K14" s="10"/>
      <c r="L14" s="7" t="n">
        <v>8</v>
      </c>
      <c r="M14" s="8" t="n">
        <v>7</v>
      </c>
      <c r="N14" s="9" t="n">
        <f aca="false">M14/L14</f>
        <v>0.875</v>
      </c>
      <c r="O14" s="7" t="n">
        <v>4</v>
      </c>
      <c r="P14" s="8" t="n">
        <v>4</v>
      </c>
      <c r="Q14" s="9" t="n">
        <f aca="false">P14/O14</f>
        <v>1</v>
      </c>
      <c r="R14" s="7" t="n">
        <v>4</v>
      </c>
      <c r="S14" s="8" t="n">
        <v>3</v>
      </c>
      <c r="T14" s="9" t="n">
        <f aca="false">S14/R14</f>
        <v>0.75</v>
      </c>
    </row>
    <row r="15" customFormat="false" ht="15" hidden="false" customHeight="false" outlineLevel="0" collapsed="false">
      <c r="A15" s="6" t="s">
        <v>21</v>
      </c>
      <c r="B15" s="6" t="s">
        <v>25</v>
      </c>
      <c r="C15" s="7"/>
      <c r="D15" s="8"/>
      <c r="E15" s="10"/>
      <c r="F15" s="7" t="n">
        <v>4</v>
      </c>
      <c r="G15" s="8" t="n">
        <v>2</v>
      </c>
      <c r="H15" s="9" t="n">
        <f aca="false">G15/F15</f>
        <v>0.5</v>
      </c>
      <c r="I15" s="7" t="n">
        <v>4</v>
      </c>
      <c r="J15" s="8" t="n">
        <v>1</v>
      </c>
      <c r="K15" s="9" t="n">
        <f aca="false">J15/I15</f>
        <v>0.25</v>
      </c>
      <c r="L15" s="7" t="n">
        <v>4</v>
      </c>
      <c r="M15" s="8" t="n">
        <v>3</v>
      </c>
      <c r="N15" s="9" t="n">
        <f aca="false">M15/L15</f>
        <v>0.75</v>
      </c>
      <c r="O15" s="7" t="n">
        <v>4</v>
      </c>
      <c r="P15" s="8" t="n">
        <v>1</v>
      </c>
      <c r="Q15" s="9" t="n">
        <f aca="false">P15/O15</f>
        <v>0.25</v>
      </c>
      <c r="R15" s="7"/>
      <c r="S15" s="8"/>
      <c r="T15" s="10"/>
    </row>
    <row r="16" customFormat="false" ht="15" hidden="false" customHeight="false" outlineLevel="0" collapsed="false">
      <c r="A16" s="6" t="s">
        <v>26</v>
      </c>
      <c r="B16" s="6" t="s">
        <v>27</v>
      </c>
      <c r="C16" s="7"/>
      <c r="D16" s="8"/>
      <c r="E16" s="10"/>
      <c r="F16" s="7" t="n">
        <v>7</v>
      </c>
      <c r="G16" s="8" t="n">
        <v>5</v>
      </c>
      <c r="H16" s="9" t="n">
        <f aca="false">G16/F16</f>
        <v>0.714285714285714</v>
      </c>
      <c r="I16" s="7" t="n">
        <v>7</v>
      </c>
      <c r="J16" s="8" t="n">
        <v>6</v>
      </c>
      <c r="K16" s="9" t="n">
        <f aca="false">J16/I16</f>
        <v>0.857142857142857</v>
      </c>
      <c r="L16" s="7" t="n">
        <v>7</v>
      </c>
      <c r="M16" s="8" t="n">
        <v>4</v>
      </c>
      <c r="N16" s="9" t="n">
        <f aca="false">M16/L16</f>
        <v>0.571428571428571</v>
      </c>
      <c r="O16" s="7" t="n">
        <v>7</v>
      </c>
      <c r="P16" s="8" t="n">
        <v>2</v>
      </c>
      <c r="Q16" s="9" t="n">
        <f aca="false">P16/O16</f>
        <v>0.285714285714286</v>
      </c>
      <c r="R16" s="7"/>
      <c r="S16" s="8"/>
      <c r="T16" s="10"/>
    </row>
    <row r="17" customFormat="false" ht="15" hidden="false" customHeight="false" outlineLevel="0" collapsed="false">
      <c r="A17" s="6" t="s">
        <v>26</v>
      </c>
      <c r="B17" s="6" t="s">
        <v>28</v>
      </c>
      <c r="C17" s="7"/>
      <c r="D17" s="8"/>
      <c r="E17" s="10"/>
      <c r="F17" s="7" t="n">
        <v>2</v>
      </c>
      <c r="G17" s="8" t="n">
        <v>1</v>
      </c>
      <c r="H17" s="9" t="n">
        <f aca="false">G17/F17</f>
        <v>0.5</v>
      </c>
      <c r="I17" s="7"/>
      <c r="J17" s="8"/>
      <c r="K17" s="10"/>
      <c r="L17" s="7" t="n">
        <v>4</v>
      </c>
      <c r="M17" s="8" t="n">
        <v>2</v>
      </c>
      <c r="N17" s="9" t="n">
        <f aca="false">M17/L17</f>
        <v>0.5</v>
      </c>
      <c r="O17" s="7" t="n">
        <v>2</v>
      </c>
      <c r="P17" s="8" t="n">
        <v>1</v>
      </c>
      <c r="Q17" s="9" t="n">
        <f aca="false">P17/O17</f>
        <v>0.5</v>
      </c>
      <c r="R17" s="7" t="n">
        <v>6</v>
      </c>
      <c r="S17" s="8" t="n">
        <v>4</v>
      </c>
      <c r="T17" s="9" t="n">
        <f aca="false">S17/R17</f>
        <v>0.666666666666667</v>
      </c>
    </row>
    <row r="18" customFormat="false" ht="15" hidden="false" customHeight="false" outlineLevel="0" collapsed="false">
      <c r="A18" s="6" t="s">
        <v>26</v>
      </c>
      <c r="B18" s="6" t="s">
        <v>29</v>
      </c>
      <c r="C18" s="7" t="n">
        <v>1</v>
      </c>
      <c r="D18" s="8" t="n">
        <v>1</v>
      </c>
      <c r="E18" s="9" t="n">
        <f aca="false">D18/C18</f>
        <v>1</v>
      </c>
      <c r="F18" s="7" t="n">
        <v>1</v>
      </c>
      <c r="G18" s="8" t="n">
        <v>1</v>
      </c>
      <c r="H18" s="9" t="n">
        <f aca="false">G18/F18</f>
        <v>1</v>
      </c>
      <c r="I18" s="7" t="n">
        <v>1</v>
      </c>
      <c r="J18" s="8" t="n">
        <v>1</v>
      </c>
      <c r="K18" s="9" t="n">
        <f aca="false">J18/I18</f>
        <v>1</v>
      </c>
      <c r="L18" s="7" t="n">
        <v>1</v>
      </c>
      <c r="M18" s="8" t="n">
        <v>0</v>
      </c>
      <c r="N18" s="9" t="n">
        <f aca="false">M18/L18</f>
        <v>0</v>
      </c>
      <c r="O18" s="7" t="n">
        <v>1</v>
      </c>
      <c r="P18" s="8" t="n">
        <v>1</v>
      </c>
      <c r="Q18" s="9" t="n">
        <f aca="false">P18/O18</f>
        <v>1</v>
      </c>
      <c r="R18" s="7"/>
      <c r="S18" s="8"/>
      <c r="T18" s="10"/>
    </row>
    <row r="20" customFormat="false" ht="15" hidden="false" customHeight="false" outlineLevel="0" collapsed="false">
      <c r="A20" s="11"/>
      <c r="B20" s="4" t="s">
        <v>30</v>
      </c>
      <c r="C20" s="5" t="n">
        <f aca="false">SUM(C6:C18)</f>
        <v>29</v>
      </c>
      <c r="D20" s="5" t="n">
        <f aca="false">SUM(D6:D18)</f>
        <v>17</v>
      </c>
      <c r="E20" s="12" t="n">
        <f aca="false">D20/C20</f>
        <v>0.586206896551724</v>
      </c>
      <c r="F20" s="5" t="n">
        <f aca="false">SUM(F6:F18)</f>
        <v>69</v>
      </c>
      <c r="G20" s="5" t="n">
        <f aca="false">SUM(G6:G18)</f>
        <v>47</v>
      </c>
      <c r="H20" s="12" t="n">
        <f aca="false">G20/F20</f>
        <v>0.681159420289855</v>
      </c>
      <c r="I20" s="5" t="n">
        <f aca="false">SUM(I6:I18)</f>
        <v>70</v>
      </c>
      <c r="J20" s="5" t="n">
        <f aca="false">SUM(J6:J18)</f>
        <v>44</v>
      </c>
      <c r="K20" s="12" t="n">
        <f aca="false">J20/I20</f>
        <v>0.628571428571429</v>
      </c>
      <c r="L20" s="5" t="n">
        <f aca="false">SUM(L6:L18)</f>
        <v>69</v>
      </c>
      <c r="M20" s="5" t="n">
        <f aca="false">SUM(M6:M18)</f>
        <v>39</v>
      </c>
      <c r="N20" s="12" t="n">
        <f aca="false">M20/L20</f>
        <v>0.565217391304348</v>
      </c>
      <c r="O20" s="5" t="n">
        <f aca="false">SUM(O6:O18)</f>
        <v>49</v>
      </c>
      <c r="P20" s="5" t="n">
        <f aca="false">SUM(P6:P18)</f>
        <v>21</v>
      </c>
      <c r="Q20" s="12" t="n">
        <f aca="false">P20/O20</f>
        <v>0.428571428571429</v>
      </c>
      <c r="R20" s="5" t="n">
        <f aca="false">SUM(R6:R18)</f>
        <v>15</v>
      </c>
      <c r="S20" s="5" t="n">
        <f aca="false">SUM(S6:S18)</f>
        <v>9</v>
      </c>
      <c r="T20" s="12" t="n">
        <f aca="false">S20/R20</f>
        <v>0.6</v>
      </c>
    </row>
  </sheetData>
  <mergeCells count="6">
    <mergeCell ref="C4:E4"/>
    <mergeCell ref="F4:H4"/>
    <mergeCell ref="I4:K4"/>
    <mergeCell ref="L4:N4"/>
    <mergeCell ref="O4:Q4"/>
    <mergeCell ref="R4:T4"/>
  </mergeCells>
  <conditionalFormatting sqref="E6:E20">
    <cfRule type="colorScale" priority="2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H6:H20">
    <cfRule type="colorScale" priority="3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K6:K20">
    <cfRule type="colorScale" priority="4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N6:N20">
    <cfRule type="colorScale" priority="5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Q6:Q20">
    <cfRule type="colorScale" priority="6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conditionalFormatting sqref="T6:T20">
    <cfRule type="colorScale" priority="7">
      <colorScale>
        <cfvo type="num" val="0"/>
        <cfvo type="num" val="0.6"/>
        <cfvo type="num" val="1"/>
        <color rgb="FFF8696B"/>
        <color rgb="FFFFEB84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2026-07-27T14:25:35Z</dcterms:created>
  <dc:creator>openpyxl</dc:creator>
  <dc:description/>
  <dc:language>en-US</dc:language>
  <cp:lastModifiedBy/>
  <dcterms:modified xsi:type="dcterms:W3CDTF">2026-07-27T14:25:35Z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