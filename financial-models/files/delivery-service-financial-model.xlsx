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over" sheetId="1" state="visible" r:id="rId3"/>
    <sheet name="Assumptions" sheetId="2" state="visible" r:id="rId4"/>
    <sheet name="Volume &amp; Funnel" sheetId="3" state="visible" r:id="rId5"/>
    <sheet name="Monthly P&amp;L" sheetId="4" state="visible" r:id="rId6"/>
    <sheet name="Annual 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<sst xmlns="http://schemas.openxmlformats.org/spreadsheetml/2006/main" count="286" uniqueCount="233">
  <si>
    <t xml:space="preserve">LAST-MILE DELIVERY SERVICE
3-YEAR FINANCIAL MODEL</t>
  </si>
  <si>
    <t xml:space="preserve">Last-Mile Delivery Operation  ·  Qatar  ·  Base Case Build, 2026</t>
  </si>
  <si>
    <t xml:space="preserve">OVERVIEW</t>
  </si>
  <si>
    <t xml:space="preserve">Bottom-up 3-year financial model for a last-mile delivery operation. Starts from the Qatar e-commerce parcel market (TAM → SAM → Merchant Accounts → Parcels/Month) and builds to a monthly P&amp;L and EBITDA. Yellow-highlighted cells are analyst estimates — adjust them to stress-test the model.</t>
  </si>
  <si>
    <t xml:space="preserve">NAVIGATE THE MODEL</t>
  </si>
  <si>
    <t xml:space="preserve">1  ·  Assumptions          All inputs — market data, pricing, driver mix, cost rates. Yellow = analyst estimate.</t>
  </si>
  <si>
    <t xml:space="preserve">2  ·  Volume &amp; Funnel      Monthly parcel volume for 36 months — merchant ramp, parcels per merchant, zone split.</t>
  </si>
  <si>
    <t xml:space="preserve">3  ·  Monthly P&amp;L          Three revenue streams, cost of delivery, opex — monthly detail plus FY1–3 totals.</t>
  </si>
  <si>
    <t xml:space="preserve">4  ·  Annual Summary       3-year P&amp;L rollup, revenue mix, driver model comparison, funding requirement.</t>
  </si>
  <si>
    <t xml:space="preserve">COLOUR LEGEND</t>
  </si>
  <si>
    <t xml:space="preserve">Blue text  →  Given input (market data or published rate)</t>
  </si>
  <si>
    <t xml:space="preserve">Blue text + yellow background  →  Analyst estimate — change to stress-test</t>
  </si>
  <si>
    <t xml:space="preserve">Black text  →  Formula / calculation — do not overwrite</t>
  </si>
  <si>
    <t xml:space="preserve">Green text  →  Link pulling from another tab — do not overwrite</t>
  </si>
  <si>
    <t xml:space="preserve">LAST-MILE DELIVERY SERVICE  |  MODEL ASSUMPTIONS</t>
  </si>
  <si>
    <t xml:space="preserve">Blue = given (market data / published).  Yellow = analyst estimate — change to stress-test.  Black = formula, do not edit.</t>
  </si>
  <si>
    <t xml:space="preserve">MARKET CONTEXT — QATAR E-COMMERCE PARCELS</t>
  </si>
  <si>
    <t xml:space="preserve">Qatar resident population (2026)</t>
  </si>
  <si>
    <t xml:space="preserve">How many people live in Qatar right now?</t>
  </si>
  <si>
    <t xml:space="preserve">Active online shoppers — Qatar (2026 est.)</t>
  </si>
  <si>
    <t xml:space="preserve">How many of them shop online at least once a month?</t>
  </si>
  <si>
    <t xml:space="preserve">Average orders per shopper per year</t>
  </si>
  <si>
    <t xml:space="preserve">On average, how many orders does each shopper place per year?</t>
  </si>
  <si>
    <t xml:space="preserve">Gross parcel volume — Qatar per year</t>
  </si>
  <si>
    <t xml:space="preserve">Total parcels needing delivery across Qatar per year. (shoppers × orders)</t>
  </si>
  <si>
    <t xml:space="preserve">Mid-value addressable share (SAM %)</t>
  </si>
  <si>
    <t xml:space="preserve">What share of the market is realistically ours to compete for? Strips out premium couriers and in-house app delivery.</t>
  </si>
  <si>
    <t xml:space="preserve">SAM — addressable parcels per year</t>
  </si>
  <si>
    <t xml:space="preserve">Our total addressable parcel pool. (gross volume × addressable share)</t>
  </si>
  <si>
    <t xml:space="preserve">SAM — addressable parcels per month</t>
  </si>
  <si>
    <t xml:space="preserve">Same number broken into months. Used as the demand ceiling in the funnel.</t>
  </si>
  <si>
    <t xml:space="preserve">MERCHANT ACQUISITION FUNNEL</t>
  </si>
  <si>
    <t xml:space="preserve">Merchant accounts — Month 1 seed</t>
  </si>
  <si>
    <t xml:space="preserve">How many merchant accounts do we launch with on Day 1?</t>
  </si>
  <si>
    <t xml:space="preserve">Target merchant accounts by year-end</t>
  </si>
  <si>
    <t xml:space="preserve">How many merchant accounts do we want signed by end of each year? [Y1 | Y2 | Y3]</t>
  </si>
  <si>
    <t xml:space="preserve">Avg parcels per merchant per month</t>
  </si>
  <si>
    <t xml:space="preserve">On average, how many parcels does each merchant send through us per month? [Y1 | Y2 | Y3]</t>
  </si>
  <si>
    <t xml:space="preserve">Monthly merchant growth rate — derived</t>
  </si>
  <si>
    <t xml:space="preserve">Monthly growth rate needed to hit the year-end merchant target. Don't edit — derived from targets above.</t>
  </si>
  <si>
    <t xml:space="preserve">PRICING &amp; UNIT ECONOMICS</t>
  </si>
  <si>
    <t xml:space="preserve">Zone A — Doha metro delivery fee (QAR/parcel)</t>
  </si>
  <si>
    <t xml:space="preserve">What do we charge per delivery inside the Doha metro corridor?</t>
  </si>
  <si>
    <t xml:space="preserve">Zone B — Greater Doha delivery fee (QAR/parcel)</t>
  </si>
  <si>
    <t xml:space="preserve">What do we charge per delivery to outer Doha / Greater Qatar?</t>
  </si>
  <si>
    <t xml:space="preserve">Zone A parcels as % of total volume</t>
  </si>
  <si>
    <t xml:space="preserve">What share of total deliveries fall inside the Doha metro? (~72% based on e-commerce demand concentration.)</t>
  </si>
  <si>
    <t xml:space="preserve">Blended delivery fee — derived (QAR/parcel)</t>
  </si>
  <si>
    <t xml:space="preserve">Weighted average fee across both zones. Don't edit — calculated from fees and zone split above.</t>
  </si>
  <si>
    <t xml:space="preserve">COD handling fee — % of declared parcel value</t>
  </si>
  <si>
    <t xml:space="preserve">What % of parcel value do we charge as a COD handling surcharge?</t>
  </si>
  <si>
    <t xml:space="preserve">COD parcels as % of total (Y1→Y3)</t>
  </si>
  <si>
    <t xml:space="preserve">What share of deliveries are cash-on-delivery? Declines as digital payments grow. [Y1 | Y2 | Y3]</t>
  </si>
  <si>
    <t xml:space="preserve">Avg declared parcel value (QAR)</t>
  </si>
  <si>
    <t xml:space="preserve">What is the typical declared value of a parcel we deliver?</t>
  </si>
  <si>
    <t xml:space="preserve">Returns fee (QAR/parcel returned)</t>
  </si>
  <si>
    <t xml:space="preserve">What flat fee do we charge the merchant when a delivery fails or is returned?</t>
  </si>
  <si>
    <t xml:space="preserve">Return rate (% of total deliveries)</t>
  </si>
  <si>
    <t xml:space="preserve">What % of our deliveries fail or get returned?</t>
  </si>
  <si>
    <t xml:space="preserve">DRIVER MODEL  —  Contracted vs Employed  (set either to 0 to run single model)</t>
  </si>
  <si>
    <t xml:space="preserve">Total delivery capacity = (Contracted drivers × drops/day × working days) + (Employed drivers × drops/day × working days). Revenue and variable costs flow from total capacity. Set contracted = 0 for fully employed fleet; set employed = 0 for fully contracted.</t>
  </si>
  <si>
    <t xml:space="preserve">Working days per month</t>
  </si>
  <si>
    <t xml:space="preserve">How many days per month do drivers work?</t>
  </si>
  <si>
    <t xml:space="preserve">Contracted drivers — number (Y1 / Y2 / Y3)</t>
  </si>
  <si>
    <t xml:space="preserve">How many contracted (gig) drivers do we use? Set to 0 for fully employed model. [Y1 | Y2 | Y3]</t>
  </si>
  <si>
    <t xml:space="preserve">Contracted driver — drops per day</t>
  </si>
  <si>
    <t xml:space="preserve">How many deliveries can one contracted driver complete per day?</t>
  </si>
  <si>
    <t xml:space="preserve">Contracted driver — cost per drop (QAR)</t>
  </si>
  <si>
    <t xml:space="preserve">How much do we pay a contracted driver per delivery attempt?</t>
  </si>
  <si>
    <t xml:space="preserve">Employed drivers — number (Y1 / Y2 / Y3)</t>
  </si>
  <si>
    <t xml:space="preserve">How many salaried drivers do we employ? Set to 0 for fully contracted model. [Y1 | Y2 | Y3]</t>
  </si>
  <si>
    <t xml:space="preserve">Employed driver — drops per day</t>
  </si>
  <si>
    <t xml:space="preserve">How many deliveries can one employed driver complete per day? (Slightly higher — fixed shift discipline.)</t>
  </si>
  <si>
    <t xml:space="preserve">Employed driver — monthly salary (QAR)</t>
  </si>
  <si>
    <t xml:space="preserve">What is the monthly all-in salary for an employed driver?</t>
  </si>
  <si>
    <t xml:space="preserve">Total monthly capacity — contracted (Y1)</t>
  </si>
  <si>
    <t xml:space="preserve">Maximum deliveries our contracted drivers can handle per month. Don't edit — calculated.</t>
  </si>
  <si>
    <t xml:space="preserve">Total monthly capacity — employed (Y1)</t>
  </si>
  <si>
    <t xml:space="preserve">Maximum deliveries our employed drivers can handle per month. Don't edit — calculated.</t>
  </si>
  <si>
    <t xml:space="preserve">Total monthly capacity — combined (Y1)</t>
  </si>
  <si>
    <t xml:space="preserve">Total fleet capacity per month. Don't edit — calculated.</t>
  </si>
  <si>
    <t xml:space="preserve">Capacity utilisation rate (target)</t>
  </si>
  <si>
    <t xml:space="preserve">What % of fleet capacity do we actually fill? 75% is a realistic planning rate.</t>
  </si>
  <si>
    <t xml:space="preserve">First-attempt delivery success rate</t>
  </si>
  <si>
    <t xml:space="preserve">What % of delivery attempts succeed on the first try? Failed attempts still cost fuel and driver time. (~88% Qatar benchmark.)</t>
  </si>
  <si>
    <t xml:space="preserve">OPERATING COST ASSUMPTIONS</t>
  </si>
  <si>
    <t xml:space="preserve">Fuel &amp; vehicle running cost per drop (QAR)</t>
  </si>
  <si>
    <t xml:space="preserve">How much does fuel and vehicle wear cost us per delivery trip?</t>
  </si>
  <si>
    <t xml:space="preserve">Hub operations staff — monthly (QAR)</t>
  </si>
  <si>
    <t xml:space="preserve">What does it cost per month to run the sortation hub? (Supervisor + 2 warehouse staff at Birkat Al Awamer.)</t>
  </si>
  <si>
    <t xml:space="preserve">TMS / tracking software — monthly (QAR)</t>
  </si>
  <si>
    <t xml:space="preserve">Monthly SaaS cost for route optimisation, driver app, and live tracking.</t>
  </si>
  <si>
    <t xml:space="preserve">B2B sales executive — annual salary (QAR)</t>
  </si>
  <si>
    <t xml:space="preserve">What is the monthly salary for the B2B sales executive? (QAR 6,000/month)</t>
  </si>
  <si>
    <t xml:space="preserve">Admin &amp; G&amp;A — annual (QAR)</t>
  </si>
  <si>
    <t xml:space="preserve">Annual budget for insurance, office, compliance, and management overhead from BY Group.</t>
  </si>
  <si>
    <t xml:space="preserve">Marketing — cost per new merchant acquired (QAR)</t>
  </si>
  <si>
    <t xml:space="preserve">How much does it cost us to sign each new merchant? (Sales visits, demos, onboarding.)</t>
  </si>
  <si>
    <t xml:space="preserve">Contracted fleet management fee — monthly (QAR)</t>
  </si>
  <si>
    <t xml:space="preserve">ONE-TIME CAPEX (pre-launch)</t>
  </si>
  <si>
    <t xml:space="preserve">Fleet vehicles — vans (# purchased)</t>
  </si>
  <si>
    <t xml:space="preserve">How many delivery vans do we buy outright? Set to 0 if using leased or contracted fleet only.</t>
  </si>
  <si>
    <t xml:space="preserve">Cost per van (QAR)</t>
  </si>
  <si>
    <t xml:space="preserve">Cost of one delivery van in Qatar.</t>
  </si>
  <si>
    <t xml:space="preserve">Van fleet capex — derived (QAR)</t>
  </si>
  <si>
    <t xml:space="preserve">Total van purchase cost. Don't edit — calculated.</t>
  </si>
  <si>
    <t xml:space="preserve">Hub fit-out &amp; sortation equipment (QAR)</t>
  </si>
  <si>
    <t xml:space="preserve">One-time cost to fit out the Birkat Al Awamer hub with shelving, scanners, and labelling equipment.</t>
  </si>
  <si>
    <t xml:space="preserve">Pre-launch marketing &amp; merchant outreach (QAR)</t>
  </si>
  <si>
    <t xml:space="preserve">Pre-launch campaign to sign the first merchant cohort before go-live.</t>
  </si>
  <si>
    <t xml:space="preserve">IT integration &amp; TMS setup (QAR)</t>
  </si>
  <si>
    <t xml:space="preserve">One-time cost to set up the TMS and integrate it with BY Cargo's existing CRM.</t>
  </si>
  <si>
    <t xml:space="preserve">Total One-Time Capex — derived (QAR)</t>
  </si>
  <si>
    <t xml:space="preserve">Total upfront capital required before launch. Don't edit — calculated.</t>
  </si>
  <si>
    <t xml:space="preserve">LAST-MILE DELIVERY SERVICE  |  VOLUME &amp; FUNNEL BUILD</t>
  </si>
  <si>
    <t xml:space="preserve">SAM 10.9M parcels/yr → Merchant accounts (ramped) → Parcels/month → Deliveries. All figures units (#) unless noted.</t>
  </si>
  <si>
    <t xml:space="preserve">YEAR 1  (2026)</t>
  </si>
  <si>
    <t xml:space="preserve">YEAR 2  (2027)</t>
  </si>
  <si>
    <t xml:space="preserve">YEAR 3  (2028)</t>
  </si>
  <si>
    <t xml:space="preserve">FY1 Total</t>
  </si>
  <si>
    <t xml:space="preserve">FY2 Total</t>
  </si>
  <si>
    <t xml:space="preserve">FY3 Total</t>
  </si>
  <si>
    <t xml:space="preserve">Y1M1</t>
  </si>
  <si>
    <t xml:space="preserve">Y1M2</t>
  </si>
  <si>
    <t xml:space="preserve">Y1M3</t>
  </si>
  <si>
    <t xml:space="preserve">Y1M4</t>
  </si>
  <si>
    <t xml:space="preserve">Y1M5</t>
  </si>
  <si>
    <t xml:space="preserve">Y1M6</t>
  </si>
  <si>
    <t xml:space="preserve">Y1M7</t>
  </si>
  <si>
    <t xml:space="preserve">Y1M8</t>
  </si>
  <si>
    <t xml:space="preserve">Y1M9</t>
  </si>
  <si>
    <t xml:space="preserve">Y1M10</t>
  </si>
  <si>
    <t xml:space="preserve">Y1M11</t>
  </si>
  <si>
    <t xml:space="preserve">Y1M12</t>
  </si>
  <si>
    <t xml:space="preserve">Y2M1</t>
  </si>
  <si>
    <t xml:space="preserve">Y2M2</t>
  </si>
  <si>
    <t xml:space="preserve">Y2M3</t>
  </si>
  <si>
    <t xml:space="preserve">Y2M4</t>
  </si>
  <si>
    <t xml:space="preserve">Y2M5</t>
  </si>
  <si>
    <t xml:space="preserve">Y2M6</t>
  </si>
  <si>
    <t xml:space="preserve">Y2M7</t>
  </si>
  <si>
    <t xml:space="preserve">Y2M8</t>
  </si>
  <si>
    <t xml:space="preserve">Y2M9</t>
  </si>
  <si>
    <t xml:space="preserve">Y2M10</t>
  </si>
  <si>
    <t xml:space="preserve">Y2M11</t>
  </si>
  <si>
    <t xml:space="preserve">Y2M12</t>
  </si>
  <si>
    <t xml:space="preserve">Y3M1</t>
  </si>
  <si>
    <t xml:space="preserve">Y3M2</t>
  </si>
  <si>
    <t xml:space="preserve">Y3M3</t>
  </si>
  <si>
    <t xml:space="preserve">Y3M4</t>
  </si>
  <si>
    <t xml:space="preserve">Y3M5</t>
  </si>
  <si>
    <t xml:space="preserve">Y3M6</t>
  </si>
  <si>
    <t xml:space="preserve">Y3M7</t>
  </si>
  <si>
    <t xml:space="preserve">Y3M8</t>
  </si>
  <si>
    <t xml:space="preserve">Y3M9</t>
  </si>
  <si>
    <t xml:space="preserve">Y3M10</t>
  </si>
  <si>
    <t xml:space="preserve">Y3M11</t>
  </si>
  <si>
    <t xml:space="preserve">Y3M12</t>
  </si>
  <si>
    <t xml:space="preserve">MERCHANT FUNNEL</t>
  </si>
  <si>
    <t xml:space="preserve">Merchant Accounts — cumulative (end of month)</t>
  </si>
  <si>
    <t xml:space="preserve">Avg Parcels per Merchant per Month</t>
  </si>
  <si>
    <t xml:space="preserve">Total Parcels Demanded / Month (#)</t>
  </si>
  <si>
    <t xml:space="preserve">Fleet Capacity / Month — Combined (#)</t>
  </si>
  <si>
    <t xml:space="preserve">Actual Deliveries / Month — at Utilisation Target (#)</t>
  </si>
  <si>
    <t xml:space="preserve">Zone A Deliveries — Doha Metro (#)</t>
  </si>
  <si>
    <t xml:space="preserve">Zone B Deliveries — Greater Doha (#)</t>
  </si>
  <si>
    <t xml:space="preserve">COD Parcels / Month (#)</t>
  </si>
  <si>
    <t xml:space="preserve">Returns / Failed Deliveries / Month (#)</t>
  </si>
  <si>
    <t xml:space="preserve">Total Delivery Trips Required / Month (#)</t>
  </si>
  <si>
    <t xml:space="preserve">Market Penetration — Deliveries as % of SAM/Month</t>
  </si>
  <si>
    <t xml:space="preserve">DRIVER CAPACITY SPLIT</t>
  </si>
  <si>
    <t xml:space="preserve">Contracted Driver Deliveries / Month (#)</t>
  </si>
  <si>
    <t xml:space="preserve">Employed Driver Deliveries / Month (#)</t>
  </si>
  <si>
    <t xml:space="preserve">Note: FY columns show SUM for delivery flows. Merchant accounts FY = December end-of-year value.</t>
  </si>
  <si>
    <t xml:space="preserve">LAST-MILE DELIVERY SERVICE  |  MONTHLY P&amp;L</t>
  </si>
  <si>
    <t xml:space="preserve">All figures QAR. Costs shown as negatives. Driven by Volume &amp; Funnel and Assumptions tabs.</t>
  </si>
  <si>
    <t xml:space="preserve">REVENUE</t>
  </si>
  <si>
    <t xml:space="preserve">Zone A Delivery Fee Revenue (QAR)</t>
  </si>
  <si>
    <t xml:space="preserve">Zone B Delivery Fee Revenue (QAR)</t>
  </si>
  <si>
    <t xml:space="preserve">COD Handling Fee Revenue (QAR)</t>
  </si>
  <si>
    <t xml:space="preserve">Returns / Failed Delivery Fee Revenue (QAR)</t>
  </si>
  <si>
    <t xml:space="preserve">TOTAL REVENUE</t>
  </si>
  <si>
    <t xml:space="preserve">COST OF DELIVERY</t>
  </si>
  <si>
    <t xml:space="preserve">Contracted Driver Cost — per drop (QAR)</t>
  </si>
  <si>
    <t xml:space="preserve">Employed Driver Cost — monthly salary (QAR)</t>
  </si>
  <si>
    <t xml:space="preserve">Fuel &amp; Vehicle Running Cost (QAR)</t>
  </si>
  <si>
    <t xml:space="preserve">TOTAL COST OF DELIVERY</t>
  </si>
  <si>
    <t xml:space="preserve">GROSS PROFIT</t>
  </si>
  <si>
    <t xml:space="preserve">Gross Margin %</t>
  </si>
  <si>
    <t xml:space="preserve">OPERATING EXPENSES</t>
  </si>
  <si>
    <t xml:space="preserve">Hub Operations Staff (QAR)</t>
  </si>
  <si>
    <t xml:space="preserve">B2B Sales Executive (QAR)</t>
  </si>
  <si>
    <t xml:space="preserve">TMS / Tracking Software (QAR)</t>
  </si>
  <si>
    <t xml:space="preserve">Marketing &amp; Merchant Acquisition (QAR)</t>
  </si>
  <si>
    <t xml:space="preserve">Admin &amp; G&amp;A (QAR)</t>
  </si>
  <si>
    <t xml:space="preserve">Contracted Fleet Management Fee (QAR)</t>
  </si>
  <si>
    <t xml:space="preserve">TOTAL OPERATING EXPENSES</t>
  </si>
  <si>
    <t xml:space="preserve">EBITDA</t>
  </si>
  <si>
    <t xml:space="preserve">EBITDA Margin %</t>
  </si>
  <si>
    <t xml:space="preserve">Cumulative EBITDA (QAR)</t>
  </si>
  <si>
    <t xml:space="preserve">Monthly EBITDA Positive? (1/0)</t>
  </si>
  <si>
    <t xml:space="preserve">LAST-MILE DELIVERY SERVICE  |  ANNUAL SUMMARY</t>
  </si>
  <si>
    <t xml:space="preserve">3-year P&amp;L, revenue mix, graduation metrics and funding requirement — all figures QAR.</t>
  </si>
  <si>
    <t xml:space="preserve">3-YEAR P&amp;L SUMMARY</t>
  </si>
  <si>
    <t xml:space="preserve">Line Item</t>
  </si>
  <si>
    <t xml:space="preserve">FY1 (2026)</t>
  </si>
  <si>
    <t xml:space="preserve">FY2 (2027)</t>
  </si>
  <si>
    <t xml:space="preserve">FY3 (2028)</t>
  </si>
  <si>
    <t xml:space="preserve">3-Yr Total</t>
  </si>
  <si>
    <t xml:space="preserve">% of 3-Yr Rev</t>
  </si>
  <si>
    <t xml:space="preserve">Zone A Delivery Fee Revenue</t>
  </si>
  <si>
    <t xml:space="preserve">Zone B Delivery Fee Revenue</t>
  </si>
  <si>
    <t xml:space="preserve">COD Handling Fee Revenue</t>
  </si>
  <si>
    <t xml:space="preserve">Returns Fee Revenue</t>
  </si>
  <si>
    <t xml:space="preserve">Total Cost of Delivery</t>
  </si>
  <si>
    <t xml:space="preserve">Total Operating Expenses</t>
  </si>
  <si>
    <t xml:space="preserve">GRADUATION METRICS  (end-of-year values)</t>
  </si>
  <si>
    <t xml:space="preserve">Metric</t>
  </si>
  <si>
    <t xml:space="preserve">Unit</t>
  </si>
  <si>
    <t xml:space="preserve">Merchant Accounts (Dec run-rate)</t>
  </si>
  <si>
    <t xml:space="preserve">#</t>
  </si>
  <si>
    <t xml:space="preserve">Monthly Deliveries (Dec run-rate)</t>
  </si>
  <si>
    <t xml:space="preserve">Annual Deliveries (FY total)</t>
  </si>
  <si>
    <t xml:space="preserve">Blended Revenue per Delivery (QAR)</t>
  </si>
  <si>
    <t xml:space="preserve">QAR</t>
  </si>
  <si>
    <t xml:space="preserve">Total Drivers — Contracted + Employed</t>
  </si>
  <si>
    <t xml:space="preserve">Drops per Driver per Hour — derived (operational benchmark)</t>
  </si>
  <si>
    <t xml:space="preserve">trips/hr  (benchmark: 6–10)</t>
  </si>
  <si>
    <t xml:space="preserve">FUNDING REQUIREMENT</t>
  </si>
  <si>
    <t xml:space="preserve">One-Time Capex</t>
  </si>
  <si>
    <t xml:space="preserve">Peak Cumulative Cash Shortfall (pre-Capex)</t>
  </si>
  <si>
    <t xml:space="preserve">Implied Funding Required</t>
  </si>
  <si>
    <t xml:space="preserve">Funding required = One-Time Capex + largest cumulative EBITDA deficit before business turns cumulative-cash-positive.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</si>
</sst>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;\(0.0%\);\-"/>
    <numFmt numFmtId="167" formatCode="#,##0.00;\(#,##0.00\);\-"/>
    <numFmt numFmtId="168" formatCode="0.00%;\(0.00%\);\-"/>
    <numFmt numFmtId="169" formatCode="0;0;\-"/>
    <numFmt numFmtId="170" formatCode="0.0;\(0.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646E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2B333B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646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B333B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B14A4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43D46"/>
        <bgColor rgb="FF2B333B"/>
      </patternFill>
    </fill>
    <fill>
      <patternFill patternType="solid">
        <fgColor rgb="FFEEF0F1"/>
        <bgColor rgb="FFE2E5E7"/>
      </patternFill>
    </fill>
    <fill>
      <patternFill patternType="solid">
        <fgColor rgb="FF566270"/>
        <bgColor rgb="FF646E78"/>
      </patternFill>
    </fill>
    <fill>
      <patternFill patternType="solid">
        <fgColor rgb="FFFFFFFF"/>
        <bgColor rgb="FFEEF0F1"/>
      </patternFill>
    </fill>
    <fill>
      <patternFill patternType="solid">
        <fgColor rgb="FFFFFF00"/>
        <bgColor rgb="FFFFFF00"/>
      </patternFill>
    </fill>
    <fill>
      <patternFill patternType="solid">
        <fgColor rgb="FF404A55"/>
        <bgColor rgb="FF343D4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2E5E7"/>
      </left>
      <right style="thin">
        <color rgb="FFE2E5E7"/>
      </right>
      <top style="thin">
        <color rgb="FFE2E5E7"/>
      </top>
      <bottom style="thin">
        <color rgb="FFE2E5E7"/>
      </bottom>
      <diagonal/>
    </border>
    <border diagonalUp="false" diagonalDown="false">
      <left/>
      <right/>
      <top style="thin">
        <color rgb="FFE2E5E7"/>
      </top>
      <bottom style="thin">
        <color rgb="FFE2E5E7"/>
      </bottom>
      <diagonal/>
    </border>
    <border diagonalUp="false" diagonalDown="false">
      <left/>
      <right style="thin">
        <color rgb="FFE2E5E7"/>
      </right>
      <top style="thin">
        <color rgb="FFE2E5E7"/>
      </top>
      <bottom style="thin">
        <color rgb="FFE2E5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66270"/>
      <rgbColor rgb="FF9999FF"/>
      <rgbColor rgb="FFB14A42"/>
      <rgbColor rgb="FFEEF0F1"/>
      <rgbColor rgb="FFCCFFFF"/>
      <rgbColor rgb="FF660066"/>
      <rgbColor rgb="FFFF8080"/>
      <rgbColor rgb="FF0066CC"/>
      <rgbColor rgb="FFE2E5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6E78"/>
      <rgbColor rgb="FF969696"/>
      <rgbColor rgb="FF003366"/>
      <rgbColor rgb="FF339966"/>
      <rgbColor rgb="FF003300"/>
      <rgbColor rgb="FF343D46"/>
      <rgbColor rgb="FF993300"/>
      <rgbColor rgb="FF993366"/>
      <rgbColor rgb="FF404A55"/>
      <rgbColor rgb="FF2B33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8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2" activeCellId="0" sqref="B2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  <col collapsed="false" customWidth="true" hidden="false" outlineLevel="0" max="3" min="3" style="0" width="40"/>
  </cols>
  <sheetData>
    <row r="1" customFormat="false" ht="19.5" hidden="false" customHeight="true" outlineLevel="0" collapsed="false"/>
    <row r="2" customFormat="false" ht="60" hidden="false" customHeight="true" outlineLevel="0" collapsed="false">
      <c r="B2" s="1" t="s">
        <v>0</v>
      </c>
      <c r="C2" s="1"/>
    </row>
    <row r="3" customFormat="false" ht="30" hidden="false" customHeight="true" outlineLevel="0" collapsed="false">
      <c r="B3" s="2" t="s">
        <v>1</v>
      </c>
      <c r="C3" s="2"/>
    </row>
    <row r="5" customFormat="false" ht="21.75" hidden="false" customHeight="true" outlineLevel="0" collapsed="false">
      <c r="B5" s="3" t="s">
        <v>2</v>
      </c>
      <c r="C5" s="3"/>
    </row>
    <row r="6" customFormat="false" ht="36" hidden="false" customHeight="true" outlineLevel="0" collapsed="false">
      <c r="B6" s="4" t="s">
        <v>3</v>
      </c>
      <c r="C6" s="4"/>
    </row>
    <row r="8" customFormat="false" ht="21.75" hidden="false" customHeight="true" outlineLevel="0" collapsed="false">
      <c r="B8" s="3" t="s">
        <v>4</v>
      </c>
      <c r="C8" s="3"/>
    </row>
    <row r="9" customFormat="false" ht="21.75" hidden="false" customHeight="true" outlineLevel="0" collapsed="false">
      <c r="B9" s="5" t="s">
        <v>5</v>
      </c>
      <c r="C9" s="5"/>
    </row>
    <row r="10" customFormat="false" ht="21.75" hidden="false" customHeight="true" outlineLevel="0" collapsed="false">
      <c r="B10" s="4" t="s">
        <v>6</v>
      </c>
      <c r="C10" s="4"/>
    </row>
    <row r="11" customFormat="false" ht="21.75" hidden="false" customHeight="true" outlineLevel="0" collapsed="false">
      <c r="B11" s="5" t="s">
        <v>7</v>
      </c>
      <c r="C11" s="5"/>
    </row>
    <row r="12" customFormat="false" ht="21.75" hidden="false" customHeight="true" outlineLevel="0" collapsed="false">
      <c r="B12" s="4" t="s">
        <v>8</v>
      </c>
      <c r="C12" s="4"/>
    </row>
    <row r="14" customFormat="false" ht="21.75" hidden="false" customHeight="true" outlineLevel="0" collapsed="false">
      <c r="B14" s="3" t="s">
        <v>9</v>
      </c>
      <c r="C14" s="3"/>
    </row>
    <row r="15" customFormat="false" ht="21.75" hidden="false" customHeight="true" outlineLevel="0" collapsed="false">
      <c r="B15" s="6" t="s">
        <v>10</v>
      </c>
      <c r="C15" s="6"/>
    </row>
    <row r="16" customFormat="false" ht="21.75" hidden="false" customHeight="true" outlineLevel="0" collapsed="false">
      <c r="B16" s="7" t="s">
        <v>11</v>
      </c>
      <c r="C16" s="7"/>
    </row>
    <row r="17" customFormat="false" ht="21.75" hidden="false" customHeight="true" outlineLevel="0" collapsed="false">
      <c r="B17" s="8" t="s">
        <v>12</v>
      </c>
      <c r="C17" s="8"/>
    </row>
    <row r="18" customFormat="false" ht="21.75" hidden="false" customHeight="true" outlineLevel="0" collapsed="false">
      <c r="B18" s="9" t="s">
        <v>13</v>
      </c>
      <c r="C18" s="9"/>
    </row>
  </sheetData>
  <mergeCells count="14">
    <mergeCell ref="B2:C2"/>
    <mergeCell ref="B3:C3"/>
    <mergeCell ref="B5:C5"/>
    <mergeCell ref="B6:C6"/>
    <mergeCell ref="B8:C8"/>
    <mergeCell ref="B9:C9"/>
    <mergeCell ref="B10:C10"/>
    <mergeCell ref="B11:C11"/>
    <mergeCell ref="B12:C12"/>
    <mergeCell ref="B14:C14"/>
    <mergeCell ref="B15:C15"/>
    <mergeCell ref="B16:C16"/>
    <mergeCell ref="B17:C17"/>
    <mergeCell ref="B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4"/>
    <col collapsed="false" customWidth="true" hidden="false" outlineLevel="0" max="5" min="5" style="0" width="52"/>
  </cols>
  <sheetData>
    <row r="1" customFormat="false" ht="25.5" hidden="false" customHeight="true" outlineLevel="0" collapsed="false">
      <c r="A1" s="10" t="s">
        <v>14</v>
      </c>
      <c r="B1" s="10"/>
      <c r="C1" s="10"/>
      <c r="D1" s="10"/>
      <c r="E1" s="10"/>
    </row>
    <row r="2" customFormat="false" ht="19.5" hidden="false" customHeight="true" outlineLevel="0" collapsed="false">
      <c r="A2" s="11" t="s">
        <v>15</v>
      </c>
      <c r="B2" s="11"/>
      <c r="C2" s="11"/>
      <c r="D2" s="11"/>
      <c r="E2" s="11"/>
    </row>
    <row r="4" customFormat="false" ht="15" hidden="false" customHeight="true" outlineLevel="0" collapsed="false">
      <c r="A4" s="12" t="s">
        <v>16</v>
      </c>
      <c r="B4" s="12"/>
      <c r="C4" s="12"/>
      <c r="D4" s="12"/>
      <c r="E4" s="12"/>
    </row>
    <row r="5" customFormat="false" ht="27.75" hidden="false" customHeight="true" outlineLevel="0" collapsed="false">
      <c r="A5" s="13" t="s">
        <v>17</v>
      </c>
      <c r="B5" s="14" t="n">
        <v>3300000</v>
      </c>
      <c r="C5" s="13"/>
      <c r="D5" s="13"/>
      <c r="E5" s="15" t="s">
        <v>18</v>
      </c>
    </row>
    <row r="6" customFormat="false" ht="27.75" hidden="false" customHeight="true" outlineLevel="0" collapsed="false">
      <c r="A6" s="13" t="s">
        <v>19</v>
      </c>
      <c r="B6" s="14" t="n">
        <v>1600000</v>
      </c>
      <c r="C6" s="13"/>
      <c r="D6" s="13"/>
      <c r="E6" s="15" t="s">
        <v>20</v>
      </c>
    </row>
    <row r="7" customFormat="false" ht="27.75" hidden="false" customHeight="true" outlineLevel="0" collapsed="false">
      <c r="A7" s="13" t="s">
        <v>21</v>
      </c>
      <c r="B7" s="14" t="n">
        <v>18</v>
      </c>
      <c r="C7" s="13"/>
      <c r="D7" s="13"/>
      <c r="E7" s="15" t="s">
        <v>22</v>
      </c>
    </row>
    <row r="8" customFormat="false" ht="27.75" hidden="false" customHeight="true" outlineLevel="0" collapsed="false">
      <c r="A8" s="13" t="s">
        <v>23</v>
      </c>
      <c r="B8" s="14" t="n">
        <v>28800000</v>
      </c>
      <c r="C8" s="13"/>
      <c r="D8" s="13"/>
      <c r="E8" s="15" t="s">
        <v>24</v>
      </c>
    </row>
    <row r="9" customFormat="false" ht="27.75" hidden="false" customHeight="true" outlineLevel="0" collapsed="false">
      <c r="A9" s="13" t="s">
        <v>25</v>
      </c>
      <c r="B9" s="16" t="n">
        <v>0.38</v>
      </c>
      <c r="C9" s="13"/>
      <c r="D9" s="13"/>
      <c r="E9" s="15" t="s">
        <v>26</v>
      </c>
    </row>
    <row r="10" customFormat="false" ht="27.75" hidden="false" customHeight="true" outlineLevel="0" collapsed="false">
      <c r="A10" s="13" t="s">
        <v>27</v>
      </c>
      <c r="B10" s="17" t="n">
        <f aca="false">B8*B9</f>
        <v>10944000</v>
      </c>
      <c r="C10" s="13"/>
      <c r="D10" s="13"/>
      <c r="E10" s="15" t="s">
        <v>28</v>
      </c>
    </row>
    <row r="11" customFormat="false" ht="27.75" hidden="false" customHeight="true" outlineLevel="0" collapsed="false">
      <c r="A11" s="13" t="s">
        <v>29</v>
      </c>
      <c r="B11" s="17" t="n">
        <f aca="false">B10/12</f>
        <v>912000</v>
      </c>
      <c r="C11" s="13"/>
      <c r="D11" s="13"/>
      <c r="E11" s="15" t="s">
        <v>30</v>
      </c>
    </row>
    <row r="13" customFormat="false" ht="15" hidden="false" customHeight="true" outlineLevel="0" collapsed="false">
      <c r="A13" s="12" t="s">
        <v>31</v>
      </c>
      <c r="B13" s="12"/>
      <c r="C13" s="12"/>
      <c r="D13" s="12"/>
      <c r="E13" s="12"/>
    </row>
    <row r="14" customFormat="false" ht="27.75" hidden="false" customHeight="true" outlineLevel="0" collapsed="false">
      <c r="A14" s="13" t="s">
        <v>32</v>
      </c>
      <c r="B14" s="14" t="n">
        <v>3</v>
      </c>
      <c r="C14" s="13"/>
      <c r="D14" s="13"/>
      <c r="E14" s="15" t="s">
        <v>33</v>
      </c>
    </row>
    <row r="15" customFormat="false" ht="27.75" hidden="false" customHeight="true" outlineLevel="0" collapsed="false">
      <c r="A15" s="13" t="s">
        <v>34</v>
      </c>
      <c r="B15" s="14" t="n">
        <v>20</v>
      </c>
      <c r="C15" s="14" t="n">
        <v>80</v>
      </c>
      <c r="D15" s="14" t="n">
        <v>160</v>
      </c>
      <c r="E15" s="15" t="s">
        <v>35</v>
      </c>
    </row>
    <row r="16" customFormat="false" ht="27.75" hidden="false" customHeight="true" outlineLevel="0" collapsed="false">
      <c r="A16" s="13" t="s">
        <v>36</v>
      </c>
      <c r="B16" s="14" t="n">
        <v>80</v>
      </c>
      <c r="C16" s="14" t="n">
        <v>110</v>
      </c>
      <c r="D16" s="14" t="n">
        <v>140</v>
      </c>
      <c r="E16" s="15" t="s">
        <v>37</v>
      </c>
    </row>
    <row r="17" customFormat="false" ht="27.75" hidden="false" customHeight="true" outlineLevel="0" collapsed="false">
      <c r="A17" s="13" t="s">
        <v>38</v>
      </c>
      <c r="B17" s="18" t="n">
        <f aca="false">((B15/B14)^(1/11)-1)</f>
        <v>0.188230770301207</v>
      </c>
      <c r="C17" s="18" t="n">
        <f aca="false">((C15/B15)^(1/12)-1)</f>
        <v>0.122462048309373</v>
      </c>
      <c r="D17" s="18" t="n">
        <f aca="false">((D15/C15)^(1/12)-1)</f>
        <v>0.0594630943592953</v>
      </c>
      <c r="E17" s="15" t="s">
        <v>39</v>
      </c>
    </row>
    <row r="19" customFormat="false" ht="15" hidden="false" customHeight="true" outlineLevel="0" collapsed="false">
      <c r="A19" s="12" t="s">
        <v>40</v>
      </c>
      <c r="B19" s="12"/>
      <c r="C19" s="12"/>
      <c r="D19" s="12"/>
      <c r="E19" s="12"/>
    </row>
    <row r="20" customFormat="false" ht="27.75" hidden="false" customHeight="true" outlineLevel="0" collapsed="false">
      <c r="A20" s="13" t="s">
        <v>41</v>
      </c>
      <c r="B20" s="19" t="n">
        <v>18</v>
      </c>
      <c r="C20" s="13"/>
      <c r="D20" s="13"/>
      <c r="E20" s="15" t="s">
        <v>42</v>
      </c>
    </row>
    <row r="21" customFormat="false" ht="27.75" hidden="false" customHeight="true" outlineLevel="0" collapsed="false">
      <c r="A21" s="13" t="s">
        <v>43</v>
      </c>
      <c r="B21" s="19" t="n">
        <v>22</v>
      </c>
      <c r="C21" s="13"/>
      <c r="D21" s="13"/>
      <c r="E21" s="15" t="s">
        <v>44</v>
      </c>
    </row>
    <row r="22" customFormat="false" ht="27.75" hidden="false" customHeight="true" outlineLevel="0" collapsed="false">
      <c r="A22" s="13" t="s">
        <v>45</v>
      </c>
      <c r="B22" s="16" t="n">
        <v>0.72</v>
      </c>
      <c r="C22" s="13"/>
      <c r="D22" s="13"/>
      <c r="E22" s="15" t="s">
        <v>46</v>
      </c>
    </row>
    <row r="23" customFormat="false" ht="27.75" hidden="false" customHeight="true" outlineLevel="0" collapsed="false">
      <c r="A23" s="13" t="s">
        <v>47</v>
      </c>
      <c r="B23" s="20" t="n">
        <f aca="false">B20*B22+B21*(1-B22)</f>
        <v>19.12</v>
      </c>
      <c r="C23" s="13"/>
      <c r="D23" s="13"/>
      <c r="E23" s="15" t="s">
        <v>48</v>
      </c>
    </row>
    <row r="24" customFormat="false" ht="27.75" hidden="false" customHeight="true" outlineLevel="0" collapsed="false">
      <c r="A24" s="13" t="s">
        <v>49</v>
      </c>
      <c r="B24" s="16" t="n">
        <v>0.015</v>
      </c>
      <c r="C24" s="13"/>
      <c r="D24" s="13"/>
      <c r="E24" s="15" t="s">
        <v>50</v>
      </c>
    </row>
    <row r="25" customFormat="false" ht="27.75" hidden="false" customHeight="true" outlineLevel="0" collapsed="false">
      <c r="A25" s="13" t="s">
        <v>51</v>
      </c>
      <c r="B25" s="16" t="n">
        <v>0.35</v>
      </c>
      <c r="C25" s="16" t="n">
        <v>0.28</v>
      </c>
      <c r="D25" s="16" t="n">
        <v>0.22</v>
      </c>
      <c r="E25" s="15" t="s">
        <v>52</v>
      </c>
    </row>
    <row r="26" customFormat="false" ht="27.75" hidden="false" customHeight="true" outlineLevel="0" collapsed="false">
      <c r="A26" s="13" t="s">
        <v>53</v>
      </c>
      <c r="B26" s="19" t="n">
        <v>180</v>
      </c>
      <c r="C26" s="13"/>
      <c r="D26" s="13"/>
      <c r="E26" s="15" t="s">
        <v>54</v>
      </c>
    </row>
    <row r="27" customFormat="false" ht="27.75" hidden="false" customHeight="true" outlineLevel="0" collapsed="false">
      <c r="A27" s="13" t="s">
        <v>55</v>
      </c>
      <c r="B27" s="19" t="n">
        <v>8</v>
      </c>
      <c r="C27" s="13"/>
      <c r="D27" s="13"/>
      <c r="E27" s="15" t="s">
        <v>56</v>
      </c>
    </row>
    <row r="28" customFormat="false" ht="27.75" hidden="false" customHeight="true" outlineLevel="0" collapsed="false">
      <c r="A28" s="13" t="s">
        <v>57</v>
      </c>
      <c r="B28" s="16" t="n">
        <v>0.06</v>
      </c>
      <c r="C28" s="13"/>
      <c r="D28" s="13"/>
      <c r="E28" s="15" t="s">
        <v>58</v>
      </c>
    </row>
    <row r="30" customFormat="false" ht="15" hidden="false" customHeight="true" outlineLevel="0" collapsed="false">
      <c r="A30" s="12" t="s">
        <v>59</v>
      </c>
      <c r="B30" s="12"/>
      <c r="C30" s="12"/>
      <c r="D30" s="12"/>
      <c r="E30" s="12"/>
    </row>
    <row r="31" customFormat="false" ht="31.5" hidden="false" customHeight="true" outlineLevel="0" collapsed="false">
      <c r="A31" s="11" t="s">
        <v>60</v>
      </c>
      <c r="B31" s="11"/>
      <c r="C31" s="11"/>
      <c r="D31" s="11"/>
      <c r="E31" s="11"/>
    </row>
    <row r="32" customFormat="false" ht="27.75" hidden="false" customHeight="true" outlineLevel="0" collapsed="false">
      <c r="A32" s="13" t="s">
        <v>61</v>
      </c>
      <c r="B32" s="14" t="n">
        <v>26</v>
      </c>
      <c r="C32" s="13"/>
      <c r="D32" s="13"/>
      <c r="E32" s="15" t="s">
        <v>62</v>
      </c>
    </row>
    <row r="33" customFormat="false" ht="27.75" hidden="false" customHeight="true" outlineLevel="0" collapsed="false">
      <c r="A33" s="13" t="s">
        <v>63</v>
      </c>
      <c r="B33" s="14" t="n">
        <v>9</v>
      </c>
      <c r="C33" s="14" t="n">
        <v>18</v>
      </c>
      <c r="D33" s="14" t="n">
        <v>30</v>
      </c>
      <c r="E33" s="15" t="s">
        <v>64</v>
      </c>
    </row>
    <row r="34" customFormat="false" ht="27.75" hidden="false" customHeight="true" outlineLevel="0" collapsed="false">
      <c r="A34" s="13" t="s">
        <v>65</v>
      </c>
      <c r="B34" s="14" t="n">
        <v>20</v>
      </c>
      <c r="C34" s="13"/>
      <c r="D34" s="13"/>
      <c r="E34" s="15" t="s">
        <v>66</v>
      </c>
    </row>
    <row r="35" customFormat="false" ht="27.75" hidden="false" customHeight="true" outlineLevel="0" collapsed="false">
      <c r="A35" s="13" t="s">
        <v>67</v>
      </c>
      <c r="B35" s="14" t="n">
        <v>9</v>
      </c>
      <c r="C35" s="13"/>
      <c r="D35" s="13"/>
      <c r="E35" s="15" t="s">
        <v>68</v>
      </c>
    </row>
    <row r="36" customFormat="false" ht="27.75" hidden="false" customHeight="true" outlineLevel="0" collapsed="false">
      <c r="A36" s="13" t="s">
        <v>69</v>
      </c>
      <c r="B36" s="14" t="n">
        <v>6</v>
      </c>
      <c r="C36" s="14" t="n">
        <v>12</v>
      </c>
      <c r="D36" s="14" t="n">
        <v>22</v>
      </c>
      <c r="E36" s="15" t="s">
        <v>70</v>
      </c>
    </row>
    <row r="37" customFormat="false" ht="27.75" hidden="false" customHeight="true" outlineLevel="0" collapsed="false">
      <c r="A37" s="13" t="s">
        <v>71</v>
      </c>
      <c r="B37" s="14" t="n">
        <v>22</v>
      </c>
      <c r="C37" s="13"/>
      <c r="D37" s="13"/>
      <c r="E37" s="15" t="s">
        <v>72</v>
      </c>
    </row>
    <row r="38" customFormat="false" ht="27.75" hidden="false" customHeight="true" outlineLevel="0" collapsed="false">
      <c r="A38" s="13" t="s">
        <v>73</v>
      </c>
      <c r="B38" s="14" t="n">
        <v>2800</v>
      </c>
      <c r="C38" s="13"/>
      <c r="D38" s="13"/>
      <c r="E38" s="15" t="s">
        <v>74</v>
      </c>
    </row>
    <row r="39" customFormat="false" ht="27.75" hidden="false" customHeight="true" outlineLevel="0" collapsed="false">
      <c r="A39" s="13" t="s">
        <v>75</v>
      </c>
      <c r="B39" s="17" t="n">
        <f aca="false">B33*B34*B32</f>
        <v>4680</v>
      </c>
      <c r="C39" s="13"/>
      <c r="D39" s="13"/>
      <c r="E39" s="15" t="s">
        <v>76</v>
      </c>
    </row>
    <row r="40" customFormat="false" ht="27.75" hidden="false" customHeight="true" outlineLevel="0" collapsed="false">
      <c r="A40" s="13" t="s">
        <v>77</v>
      </c>
      <c r="B40" s="17" t="n">
        <f aca="false">B36*B37*B32</f>
        <v>3432</v>
      </c>
      <c r="C40" s="13"/>
      <c r="D40" s="13"/>
      <c r="E40" s="15" t="s">
        <v>78</v>
      </c>
    </row>
    <row r="41" customFormat="false" ht="27.75" hidden="false" customHeight="true" outlineLevel="0" collapsed="false">
      <c r="A41" s="13" t="s">
        <v>79</v>
      </c>
      <c r="B41" s="17" t="n">
        <f aca="false">B39+B40</f>
        <v>8112</v>
      </c>
      <c r="C41" s="13"/>
      <c r="D41" s="13"/>
      <c r="E41" s="15" t="s">
        <v>80</v>
      </c>
    </row>
    <row r="42" customFormat="false" ht="27.75" hidden="false" customHeight="true" outlineLevel="0" collapsed="false">
      <c r="A42" s="13" t="s">
        <v>81</v>
      </c>
      <c r="B42" s="16" t="n">
        <v>0.75</v>
      </c>
      <c r="C42" s="13"/>
      <c r="D42" s="13"/>
      <c r="E42" s="15" t="s">
        <v>82</v>
      </c>
    </row>
    <row r="43" customFormat="false" ht="27.75" hidden="false" customHeight="true" outlineLevel="0" collapsed="false">
      <c r="A43" s="21" t="s">
        <v>83</v>
      </c>
      <c r="B43" s="16" t="n">
        <v>0.88</v>
      </c>
      <c r="C43" s="22"/>
      <c r="D43" s="22"/>
      <c r="E43" s="15" t="s">
        <v>84</v>
      </c>
    </row>
    <row r="44" customFormat="false" ht="15" hidden="false" customHeight="true" outlineLevel="0" collapsed="false">
      <c r="A44" s="23"/>
      <c r="B44" s="23"/>
      <c r="C44" s="23"/>
      <c r="D44" s="23"/>
      <c r="E44" s="23"/>
    </row>
    <row r="45" customFormat="false" ht="15" hidden="false" customHeight="true" outlineLevel="0" collapsed="false">
      <c r="A45" s="12" t="s">
        <v>85</v>
      </c>
      <c r="B45" s="24"/>
      <c r="C45" s="24"/>
      <c r="D45" s="24"/>
      <c r="E45" s="25"/>
    </row>
    <row r="46" customFormat="false" ht="27.75" hidden="false" customHeight="true" outlineLevel="0" collapsed="false">
      <c r="A46" s="13" t="s">
        <v>86</v>
      </c>
      <c r="B46" s="19" t="n">
        <v>1.8</v>
      </c>
      <c r="C46" s="13"/>
      <c r="D46" s="13"/>
      <c r="E46" s="15" t="s">
        <v>87</v>
      </c>
    </row>
    <row r="47" customFormat="false" ht="27.75" hidden="false" customHeight="true" outlineLevel="0" collapsed="false">
      <c r="A47" s="13" t="s">
        <v>88</v>
      </c>
      <c r="B47" s="14" t="n">
        <v>12000</v>
      </c>
      <c r="C47" s="13"/>
      <c r="D47" s="13"/>
      <c r="E47" s="15" t="s">
        <v>89</v>
      </c>
    </row>
    <row r="48" customFormat="false" ht="27.75" hidden="false" customHeight="true" outlineLevel="0" collapsed="false">
      <c r="A48" s="13" t="s">
        <v>90</v>
      </c>
      <c r="B48" s="14" t="n">
        <v>2500</v>
      </c>
      <c r="C48" s="13"/>
      <c r="D48" s="13"/>
      <c r="E48" s="15" t="s">
        <v>91</v>
      </c>
    </row>
    <row r="49" customFormat="false" ht="27.75" hidden="false" customHeight="true" outlineLevel="0" collapsed="false">
      <c r="A49" s="13" t="s">
        <v>92</v>
      </c>
      <c r="B49" s="14" t="n">
        <v>72000</v>
      </c>
      <c r="C49" s="13"/>
      <c r="D49" s="13"/>
      <c r="E49" s="15" t="s">
        <v>93</v>
      </c>
    </row>
    <row r="50" customFormat="false" ht="27.75" hidden="false" customHeight="true" outlineLevel="0" collapsed="false">
      <c r="A50" s="13" t="s">
        <v>94</v>
      </c>
      <c r="B50" s="14" t="n">
        <v>72000</v>
      </c>
      <c r="C50" s="13"/>
      <c r="D50" s="13"/>
      <c r="E50" s="15" t="s">
        <v>95</v>
      </c>
    </row>
    <row r="51" customFormat="false" ht="27.75" hidden="false" customHeight="true" outlineLevel="0" collapsed="false">
      <c r="A51" s="13" t="s">
        <v>96</v>
      </c>
      <c r="B51" s="14" t="n">
        <v>2500</v>
      </c>
      <c r="C51" s="13"/>
      <c r="D51" s="13"/>
      <c r="E51" s="15" t="s">
        <v>97</v>
      </c>
    </row>
    <row r="52" customFormat="false" ht="27.75" hidden="false" customHeight="true" outlineLevel="0" collapsed="false">
      <c r="A52" s="21" t="s">
        <v>98</v>
      </c>
      <c r="B52" s="21"/>
      <c r="C52" s="21"/>
      <c r="D52" s="21"/>
      <c r="E52" s="21"/>
    </row>
    <row r="53" customFormat="false" ht="15" hidden="false" customHeight="true" outlineLevel="0" collapsed="false"/>
    <row r="54" customFormat="false" ht="27.75" hidden="false" customHeight="true" outlineLevel="0" collapsed="false">
      <c r="A54" s="12" t="s">
        <v>99</v>
      </c>
      <c r="B54" s="24"/>
      <c r="C54" s="24"/>
      <c r="D54" s="24"/>
      <c r="E54" s="25"/>
    </row>
    <row r="55" customFormat="false" ht="27.75" hidden="false" customHeight="true" outlineLevel="0" collapsed="false">
      <c r="A55" s="13" t="s">
        <v>100</v>
      </c>
      <c r="B55" s="14" t="n">
        <v>0</v>
      </c>
      <c r="C55" s="13"/>
      <c r="D55" s="13"/>
      <c r="E55" s="15" t="s">
        <v>101</v>
      </c>
    </row>
    <row r="56" customFormat="false" ht="27.75" hidden="false" customHeight="true" outlineLevel="0" collapsed="false">
      <c r="A56" s="13" t="s">
        <v>102</v>
      </c>
      <c r="B56" s="14" t="n">
        <v>85000</v>
      </c>
      <c r="C56" s="13"/>
      <c r="D56" s="13"/>
      <c r="E56" s="15" t="s">
        <v>103</v>
      </c>
    </row>
    <row r="57" customFormat="false" ht="27.75" hidden="false" customHeight="true" outlineLevel="0" collapsed="false">
      <c r="A57" s="13" t="s">
        <v>104</v>
      </c>
      <c r="B57" s="17" t="n">
        <f aca="false">B55*B56</f>
        <v>0</v>
      </c>
      <c r="C57" s="13"/>
      <c r="D57" s="13"/>
      <c r="E57" s="15" t="s">
        <v>105</v>
      </c>
    </row>
    <row r="58" customFormat="false" ht="27.75" hidden="false" customHeight="true" outlineLevel="0" collapsed="false">
      <c r="A58" s="13" t="s">
        <v>106</v>
      </c>
      <c r="B58" s="14" t="n">
        <v>35000</v>
      </c>
      <c r="C58" s="13"/>
      <c r="D58" s="13"/>
      <c r="E58" s="15" t="s">
        <v>107</v>
      </c>
    </row>
    <row r="59" customFormat="false" ht="27.75" hidden="false" customHeight="true" outlineLevel="0" collapsed="false">
      <c r="A59" s="13" t="s">
        <v>108</v>
      </c>
      <c r="B59" s="14" t="n">
        <v>15000</v>
      </c>
      <c r="C59" s="13"/>
      <c r="D59" s="13"/>
      <c r="E59" s="15" t="s">
        <v>109</v>
      </c>
    </row>
    <row r="60" customFormat="false" ht="27.75" hidden="false" customHeight="true" outlineLevel="0" collapsed="false">
      <c r="A60" s="13" t="s">
        <v>110</v>
      </c>
      <c r="B60" s="14" t="n">
        <v>10000</v>
      </c>
      <c r="C60" s="13"/>
      <c r="D60" s="13"/>
      <c r="E60" s="15" t="s">
        <v>111</v>
      </c>
    </row>
    <row r="61" customFormat="false" ht="23.25" hidden="false" customHeight="true" outlineLevel="0" collapsed="false">
      <c r="A61" s="13" t="s">
        <v>112</v>
      </c>
      <c r="B61" s="17" t="n">
        <f aca="false">B57+B58+B59+B60</f>
        <v>60000</v>
      </c>
      <c r="C61" s="13"/>
      <c r="D61" s="13"/>
      <c r="E61" s="15" t="s">
        <v>113</v>
      </c>
    </row>
  </sheetData>
  <mergeCells count="9">
    <mergeCell ref="A1:E1"/>
    <mergeCell ref="A2:E2"/>
    <mergeCell ref="A4:E4"/>
    <mergeCell ref="A13:E13"/>
    <mergeCell ref="A19:E19"/>
    <mergeCell ref="A30:E30"/>
    <mergeCell ref="A31:E31"/>
    <mergeCell ref="A44:E44"/>
    <mergeCell ref="A52:E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G31" activeCellId="0" sqref="G3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4"/>
    <col collapsed="false" customWidth="true" hidden="false" outlineLevel="0" max="40" min="2" style="0" width="10"/>
    <col collapsed="false" customWidth="true" hidden="false" outlineLevel="0" max="43" min="41" style="0" width="12"/>
  </cols>
  <sheetData>
    <row r="1" customFormat="false" ht="24" hidden="false" customHeight="true" outlineLevel="0" collapsed="false">
      <c r="A1" s="26" t="s">
        <v>114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</row>
    <row r="2" customFormat="false" ht="18" hidden="false" customHeight="true" outlineLevel="0" collapsed="false">
      <c r="A2" s="11" t="s">
        <v>115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 customFormat="false" ht="19.5" hidden="false" customHeight="true" outlineLevel="0" collapsed="false">
      <c r="B3" s="27" t="s">
        <v>116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O3" s="27" t="s">
        <v>117</v>
      </c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B3" s="27" t="s">
        <v>118</v>
      </c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O3" s="28" t="s">
        <v>119</v>
      </c>
      <c r="AP3" s="28" t="s">
        <v>120</v>
      </c>
      <c r="AQ3" s="28" t="s">
        <v>121</v>
      </c>
    </row>
    <row r="4" customFormat="false" ht="18" hidden="false" customHeight="true" outlineLevel="0" collapsed="false">
      <c r="B4" s="29" t="s">
        <v>122</v>
      </c>
      <c r="C4" s="29" t="s">
        <v>123</v>
      </c>
      <c r="D4" s="29" t="s">
        <v>124</v>
      </c>
      <c r="E4" s="29" t="s">
        <v>125</v>
      </c>
      <c r="F4" s="29" t="s">
        <v>126</v>
      </c>
      <c r="G4" s="29" t="s">
        <v>127</v>
      </c>
      <c r="H4" s="29" t="s">
        <v>128</v>
      </c>
      <c r="I4" s="29" t="s">
        <v>129</v>
      </c>
      <c r="J4" s="29" t="s">
        <v>130</v>
      </c>
      <c r="K4" s="29" t="s">
        <v>131</v>
      </c>
      <c r="L4" s="29" t="s">
        <v>132</v>
      </c>
      <c r="M4" s="29" t="s">
        <v>133</v>
      </c>
      <c r="N4" s="29"/>
      <c r="O4" s="29" t="s">
        <v>134</v>
      </c>
      <c r="P4" s="29" t="s">
        <v>135</v>
      </c>
      <c r="Q4" s="29" t="s">
        <v>136</v>
      </c>
      <c r="R4" s="29" t="s">
        <v>137</v>
      </c>
      <c r="S4" s="29" t="s">
        <v>138</v>
      </c>
      <c r="T4" s="29" t="s">
        <v>139</v>
      </c>
      <c r="U4" s="29" t="s">
        <v>140</v>
      </c>
      <c r="V4" s="29" t="s">
        <v>141</v>
      </c>
      <c r="W4" s="29" t="s">
        <v>142</v>
      </c>
      <c r="X4" s="29" t="s">
        <v>143</v>
      </c>
      <c r="Y4" s="29" t="s">
        <v>144</v>
      </c>
      <c r="Z4" s="29" t="s">
        <v>145</v>
      </c>
      <c r="AA4" s="29"/>
      <c r="AB4" s="29" t="s">
        <v>146</v>
      </c>
      <c r="AC4" s="29" t="s">
        <v>147</v>
      </c>
      <c r="AD4" s="29" t="s">
        <v>148</v>
      </c>
      <c r="AE4" s="29" t="s">
        <v>149</v>
      </c>
      <c r="AF4" s="29" t="s">
        <v>150</v>
      </c>
      <c r="AG4" s="29" t="s">
        <v>151</v>
      </c>
      <c r="AH4" s="29" t="s">
        <v>152</v>
      </c>
      <c r="AI4" s="29" t="s">
        <v>153</v>
      </c>
      <c r="AJ4" s="29" t="s">
        <v>154</v>
      </c>
      <c r="AK4" s="29" t="s">
        <v>155</v>
      </c>
      <c r="AL4" s="29" t="s">
        <v>156</v>
      </c>
      <c r="AM4" s="29" t="s">
        <v>157</v>
      </c>
    </row>
    <row r="5" customFormat="false" ht="15" hidden="false" customHeight="true" outlineLevel="0" collapsed="false">
      <c r="A5" s="12" t="s">
        <v>158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</row>
    <row r="6" customFormat="false" ht="15" hidden="false" customHeight="true" outlineLevel="0" collapsed="false">
      <c r="A6" s="13" t="s">
        <v>159</v>
      </c>
      <c r="B6" s="30" t="n">
        <f aca="false">Assumptions!B14</f>
        <v>3</v>
      </c>
      <c r="C6" s="17" t="n">
        <f aca="false">B6*(1+Assumptions!B17)</f>
        <v>3.56469231090362</v>
      </c>
      <c r="D6" s="17" t="n">
        <f aca="false">C6*(1+Assumptions!B17)</f>
        <v>4.2356770904718</v>
      </c>
      <c r="E6" s="17" t="n">
        <f aca="false">D6*(1+Assumptions!B17)</f>
        <v>5.03296185195848</v>
      </c>
      <c r="F6" s="17" t="n">
        <f aca="false">E6*(1+Assumptions!B17)</f>
        <v>5.98032013824921</v>
      </c>
      <c r="G6" s="17" t="n">
        <f aca="false">F6*(1+Assumptions!B17)</f>
        <v>7.10600040451967</v>
      </c>
      <c r="H6" s="17" t="n">
        <f aca="false">G6*(1+Assumptions!B17)</f>
        <v>8.44356833442309</v>
      </c>
      <c r="I6" s="17" t="n">
        <f aca="false">H6*(1+Assumptions!B17)</f>
        <v>10.0329077061024</v>
      </c>
      <c r="J6" s="17" t="n">
        <f aca="false">I6*(1+Assumptions!B17)</f>
        <v>11.921409651983</v>
      </c>
      <c r="K6" s="17" t="n">
        <f aca="false">J6*(1+Assumptions!B17)</f>
        <v>14.165385773852</v>
      </c>
      <c r="L6" s="17" t="n">
        <f aca="false">K6*(1+Assumptions!B17)</f>
        <v>16.8317472496779</v>
      </c>
      <c r="M6" s="17" t="n">
        <f aca="false">L6*(1+Assumptions!B17)</f>
        <v>20</v>
      </c>
      <c r="O6" s="17" t="n">
        <f aca="false">M6*(1+Assumptions!C17)</f>
        <v>22.4492409661875</v>
      </c>
      <c r="P6" s="17" t="n">
        <f aca="false">O6*(1+Assumptions!C17)</f>
        <v>25.1984209978975</v>
      </c>
      <c r="Q6" s="17" t="n">
        <f aca="false">P6*(1+Assumptions!C17)</f>
        <v>28.2842712474619</v>
      </c>
      <c r="R6" s="17" t="n">
        <f aca="false">Q6*(1+Assumptions!C17)</f>
        <v>31.748021039364</v>
      </c>
      <c r="S6" s="17" t="n">
        <f aca="false">R6*(1+Assumptions!C17)</f>
        <v>35.6359487256136</v>
      </c>
      <c r="T6" s="17" t="n">
        <f aca="false">S6*(1+Assumptions!C17)</f>
        <v>40</v>
      </c>
      <c r="U6" s="17" t="n">
        <f aca="false">T6*(1+Assumptions!C17)</f>
        <v>44.8984819323749</v>
      </c>
      <c r="V6" s="17" t="n">
        <f aca="false">U6*(1+Assumptions!C17)</f>
        <v>50.3968419957949</v>
      </c>
      <c r="W6" s="17" t="n">
        <f aca="false">V6*(1+Assumptions!C17)</f>
        <v>56.5685424949238</v>
      </c>
      <c r="X6" s="17" t="n">
        <f aca="false">W6*(1+Assumptions!C17)</f>
        <v>63.496042078728</v>
      </c>
      <c r="Y6" s="17" t="n">
        <f aca="false">X6*(1+Assumptions!C17)</f>
        <v>71.2718974512272</v>
      </c>
      <c r="Z6" s="17" t="n">
        <f aca="false">Y6*(1+Assumptions!C17)</f>
        <v>80</v>
      </c>
      <c r="AB6" s="17" t="n">
        <f aca="false">Z6*(1+Assumptions!D17)</f>
        <v>84.7570475487436</v>
      </c>
      <c r="AC6" s="17" t="n">
        <f aca="false">AB6*(1+Assumptions!D17)</f>
        <v>89.7969638647499</v>
      </c>
      <c r="AD6" s="17" t="n">
        <f aca="false">AC6*(1+Assumptions!D17)</f>
        <v>95.1365692002177</v>
      </c>
      <c r="AE6" s="17" t="n">
        <f aca="false">AD6*(1+Assumptions!D17)</f>
        <v>100.79368399159</v>
      </c>
      <c r="AF6" s="17" t="n">
        <f aca="false">AE6*(1+Assumptions!D17)</f>
        <v>106.787188333603</v>
      </c>
      <c r="AG6" s="17" t="n">
        <f aca="false">AF6*(1+Assumptions!D17)</f>
        <v>113.137084989848</v>
      </c>
      <c r="AH6" s="17" t="n">
        <f aca="false">AG6*(1+Assumptions!D17)</f>
        <v>119.864566150135</v>
      </c>
      <c r="AI6" s="17" t="n">
        <f aca="false">AH6*(1+Assumptions!D17)</f>
        <v>126.992084157456</v>
      </c>
      <c r="AJ6" s="17" t="n">
        <f aca="false">AI6*(1+Assumptions!D17)</f>
        <v>134.543426440594</v>
      </c>
      <c r="AK6" s="17" t="n">
        <f aca="false">AJ6*(1+Assumptions!D17)</f>
        <v>142.543794902454</v>
      </c>
      <c r="AL6" s="17" t="n">
        <f aca="false">AK6*(1+Assumptions!D17)</f>
        <v>151.019890029071</v>
      </c>
      <c r="AM6" s="17" t="n">
        <f aca="false">AL6*(1+Assumptions!D17)</f>
        <v>160</v>
      </c>
      <c r="AO6" s="17" t="n">
        <f aca="false">M6</f>
        <v>20</v>
      </c>
      <c r="AP6" s="17" t="n">
        <f aca="false">Z6</f>
        <v>80</v>
      </c>
      <c r="AQ6" s="17" t="n">
        <f aca="false">AM6</f>
        <v>160</v>
      </c>
    </row>
    <row r="7" customFormat="false" ht="15" hidden="false" customHeight="true" outlineLevel="0" collapsed="false">
      <c r="A7" s="13" t="s">
        <v>160</v>
      </c>
      <c r="B7" s="31" t="n">
        <f aca="false">Assumptions!B16</f>
        <v>80</v>
      </c>
      <c r="C7" s="31" t="n">
        <f aca="false">Assumptions!B16</f>
        <v>80</v>
      </c>
      <c r="D7" s="31" t="n">
        <f aca="false">Assumptions!B16</f>
        <v>80</v>
      </c>
      <c r="E7" s="31" t="n">
        <f aca="false">Assumptions!B16</f>
        <v>80</v>
      </c>
      <c r="F7" s="31" t="n">
        <f aca="false">Assumptions!B16</f>
        <v>80</v>
      </c>
      <c r="G7" s="31" t="n">
        <f aca="false">Assumptions!B16</f>
        <v>80</v>
      </c>
      <c r="H7" s="31" t="n">
        <f aca="false">Assumptions!B16</f>
        <v>80</v>
      </c>
      <c r="I7" s="31" t="n">
        <f aca="false">Assumptions!B16</f>
        <v>80</v>
      </c>
      <c r="J7" s="31" t="n">
        <f aca="false">Assumptions!B16</f>
        <v>80</v>
      </c>
      <c r="K7" s="31" t="n">
        <f aca="false">Assumptions!B16</f>
        <v>80</v>
      </c>
      <c r="L7" s="31" t="n">
        <f aca="false">Assumptions!B16</f>
        <v>80</v>
      </c>
      <c r="M7" s="31" t="n">
        <f aca="false">Assumptions!B16</f>
        <v>80</v>
      </c>
      <c r="O7" s="31" t="n">
        <f aca="false">Assumptions!C16</f>
        <v>110</v>
      </c>
      <c r="P7" s="31" t="n">
        <f aca="false">Assumptions!C16</f>
        <v>110</v>
      </c>
      <c r="Q7" s="31" t="n">
        <f aca="false">Assumptions!C16</f>
        <v>110</v>
      </c>
      <c r="R7" s="31" t="n">
        <f aca="false">Assumptions!C16</f>
        <v>110</v>
      </c>
      <c r="S7" s="31" t="n">
        <f aca="false">Assumptions!C16</f>
        <v>110</v>
      </c>
      <c r="T7" s="31" t="n">
        <f aca="false">Assumptions!C16</f>
        <v>110</v>
      </c>
      <c r="U7" s="31" t="n">
        <f aca="false">Assumptions!C16</f>
        <v>110</v>
      </c>
      <c r="V7" s="31" t="n">
        <f aca="false">Assumptions!C16</f>
        <v>110</v>
      </c>
      <c r="W7" s="31" t="n">
        <f aca="false">Assumptions!C16</f>
        <v>110</v>
      </c>
      <c r="X7" s="31" t="n">
        <f aca="false">Assumptions!C16</f>
        <v>110</v>
      </c>
      <c r="Y7" s="31" t="n">
        <f aca="false">Assumptions!C16</f>
        <v>110</v>
      </c>
      <c r="Z7" s="31" t="n">
        <f aca="false">Assumptions!C16</f>
        <v>110</v>
      </c>
      <c r="AB7" s="31" t="n">
        <f aca="false">Assumptions!D16</f>
        <v>140</v>
      </c>
      <c r="AC7" s="31" t="n">
        <f aca="false">Assumptions!D16</f>
        <v>140</v>
      </c>
      <c r="AD7" s="31" t="n">
        <f aca="false">Assumptions!D16</f>
        <v>140</v>
      </c>
      <c r="AE7" s="31" t="n">
        <f aca="false">Assumptions!D16</f>
        <v>140</v>
      </c>
      <c r="AF7" s="31" t="n">
        <f aca="false">Assumptions!D16</f>
        <v>140</v>
      </c>
      <c r="AG7" s="31" t="n">
        <f aca="false">Assumptions!D16</f>
        <v>140</v>
      </c>
      <c r="AH7" s="31" t="n">
        <f aca="false">Assumptions!D16</f>
        <v>140</v>
      </c>
      <c r="AI7" s="31" t="n">
        <f aca="false">Assumptions!D16</f>
        <v>140</v>
      </c>
      <c r="AJ7" s="31" t="n">
        <f aca="false">Assumptions!D16</f>
        <v>140</v>
      </c>
      <c r="AK7" s="31" t="n">
        <f aca="false">Assumptions!D16</f>
        <v>140</v>
      </c>
      <c r="AL7" s="31" t="n">
        <f aca="false">Assumptions!D16</f>
        <v>140</v>
      </c>
      <c r="AM7" s="31" t="n">
        <f aca="false">Assumptions!D16</f>
        <v>140</v>
      </c>
      <c r="AO7" s="13"/>
      <c r="AP7" s="13"/>
      <c r="AQ7" s="13"/>
    </row>
    <row r="8" customFormat="false" ht="15" hidden="false" customHeight="true" outlineLevel="0" collapsed="false">
      <c r="A8" s="13" t="s">
        <v>161</v>
      </c>
      <c r="B8" s="17" t="n">
        <f aca="false">B6*B7</f>
        <v>240</v>
      </c>
      <c r="C8" s="17" t="n">
        <f aca="false">C6*C7</f>
        <v>285.17538487229</v>
      </c>
      <c r="D8" s="17" t="n">
        <f aca="false">D6*D7</f>
        <v>338.854167237744</v>
      </c>
      <c r="E8" s="17" t="n">
        <f aca="false">E6*E7</f>
        <v>402.636948156678</v>
      </c>
      <c r="F8" s="17" t="n">
        <f aca="false">F6*F7</f>
        <v>478.425611059936</v>
      </c>
      <c r="G8" s="17" t="n">
        <f aca="false">G6*G7</f>
        <v>568.480032361574</v>
      </c>
      <c r="H8" s="17" t="n">
        <f aca="false">H6*H7</f>
        <v>675.485466753847</v>
      </c>
      <c r="I8" s="17" t="n">
        <f aca="false">I6*I7</f>
        <v>802.632616488194</v>
      </c>
      <c r="J8" s="17" t="n">
        <f aca="false">J6*J7</f>
        <v>953.71277215864</v>
      </c>
      <c r="K8" s="17" t="n">
        <f aca="false">K6*K7</f>
        <v>1133.23086190816</v>
      </c>
      <c r="L8" s="17" t="n">
        <f aca="false">L6*L7</f>
        <v>1346.53977997423</v>
      </c>
      <c r="M8" s="17" t="n">
        <f aca="false">M6*M7</f>
        <v>1600</v>
      </c>
      <c r="O8" s="17" t="n">
        <f aca="false">O6*O7</f>
        <v>2469.41650628062</v>
      </c>
      <c r="P8" s="17" t="n">
        <f aca="false">P6*P7</f>
        <v>2771.82630976872</v>
      </c>
      <c r="Q8" s="17" t="n">
        <f aca="false">Q6*Q7</f>
        <v>3111.26983722081</v>
      </c>
      <c r="R8" s="17" t="n">
        <f aca="false">R6*R7</f>
        <v>3492.28231433004</v>
      </c>
      <c r="S8" s="17" t="n">
        <f aca="false">S6*S7</f>
        <v>3919.95435981749</v>
      </c>
      <c r="T8" s="17" t="n">
        <f aca="false">T6*T7</f>
        <v>4400</v>
      </c>
      <c r="U8" s="17" t="n">
        <f aca="false">U6*U7</f>
        <v>4938.83301256124</v>
      </c>
      <c r="V8" s="17" t="n">
        <f aca="false">V6*V7</f>
        <v>5543.65261953744</v>
      </c>
      <c r="W8" s="17" t="n">
        <f aca="false">W6*W7</f>
        <v>6222.53967444162</v>
      </c>
      <c r="X8" s="17" t="n">
        <f aca="false">X6*X7</f>
        <v>6984.56462866008</v>
      </c>
      <c r="Y8" s="17" t="n">
        <f aca="false">Y6*Y7</f>
        <v>7839.90871963499</v>
      </c>
      <c r="Z8" s="17" t="n">
        <f aca="false">Z6*Z7</f>
        <v>8800</v>
      </c>
      <c r="AB8" s="17" t="n">
        <f aca="false">AB6*AB7</f>
        <v>11865.9866568241</v>
      </c>
      <c r="AC8" s="17" t="n">
        <f aca="false">AC6*AC7</f>
        <v>12571.574941065</v>
      </c>
      <c r="AD8" s="17" t="n">
        <f aca="false">AD6*AD7</f>
        <v>13319.1196880305</v>
      </c>
      <c r="AE8" s="17" t="n">
        <f aca="false">AE6*AE7</f>
        <v>14111.1157588226</v>
      </c>
      <c r="AF8" s="17" t="n">
        <f aca="false">AF6*AF7</f>
        <v>14950.2063667044</v>
      </c>
      <c r="AG8" s="17" t="n">
        <f aca="false">AG6*AG7</f>
        <v>15839.1918985787</v>
      </c>
      <c r="AH8" s="17" t="n">
        <f aca="false">AH6*AH7</f>
        <v>16781.0392610188</v>
      </c>
      <c r="AI8" s="17" t="n">
        <f aca="false">AI6*AI7</f>
        <v>17778.8917820438</v>
      </c>
      <c r="AJ8" s="17" t="n">
        <f aca="false">AJ6*AJ7</f>
        <v>18836.0797016832</v>
      </c>
      <c r="AK8" s="17" t="n">
        <f aca="false">AK6*AK7</f>
        <v>19956.1312863436</v>
      </c>
      <c r="AL8" s="17" t="n">
        <f aca="false">AL6*AL7</f>
        <v>21142.7846040699</v>
      </c>
      <c r="AM8" s="17" t="n">
        <f aca="false">AM6*AM7</f>
        <v>22400</v>
      </c>
      <c r="AO8" s="17" t="n">
        <f aca="false">SUM(B8:M8)</f>
        <v>8825.17364097129</v>
      </c>
      <c r="AP8" s="17" t="n">
        <f aca="false">SUM(O8:Z8)</f>
        <v>60494.247982253</v>
      </c>
      <c r="AQ8" s="17" t="n">
        <f aca="false">SUM(AB8:AM8)</f>
        <v>199552.121945185</v>
      </c>
    </row>
    <row r="9" customFormat="false" ht="15" hidden="false" customHeight="true" outlineLevel="0" collapsed="false">
      <c r="A9" s="13" t="s">
        <v>162</v>
      </c>
      <c r="B9" s="17" t="n">
        <f aca="false">(Assumptions!B33*Assumptions!B34*Assumptions!B32)+(Assumptions!B36*Assumptions!B37*Assumptions!B32)</f>
        <v>8112</v>
      </c>
      <c r="C9" s="17" t="n">
        <f aca="false">(Assumptions!B33*Assumptions!B34*Assumptions!B32)+(Assumptions!B36*Assumptions!B37*Assumptions!B32)</f>
        <v>8112</v>
      </c>
      <c r="D9" s="17" t="n">
        <f aca="false">(Assumptions!B33*Assumptions!B34*Assumptions!B32)+(Assumptions!B36*Assumptions!B37*Assumptions!B32)</f>
        <v>8112</v>
      </c>
      <c r="E9" s="17" t="n">
        <f aca="false">(Assumptions!B33*Assumptions!B34*Assumptions!B32)+(Assumptions!B36*Assumptions!B37*Assumptions!B32)</f>
        <v>8112</v>
      </c>
      <c r="F9" s="17" t="n">
        <f aca="false">(Assumptions!B33*Assumptions!B34*Assumptions!B32)+(Assumptions!B36*Assumptions!B37*Assumptions!B32)</f>
        <v>8112</v>
      </c>
      <c r="G9" s="17" t="n">
        <f aca="false">(Assumptions!B33*Assumptions!B34*Assumptions!B32)+(Assumptions!B36*Assumptions!B37*Assumptions!B32)</f>
        <v>8112</v>
      </c>
      <c r="H9" s="17" t="n">
        <f aca="false">(Assumptions!B33*Assumptions!B34*Assumptions!B32)+(Assumptions!B36*Assumptions!B37*Assumptions!B32)</f>
        <v>8112</v>
      </c>
      <c r="I9" s="17" t="n">
        <f aca="false">(Assumptions!B33*Assumptions!B34*Assumptions!B32)+(Assumptions!B36*Assumptions!B37*Assumptions!B32)</f>
        <v>8112</v>
      </c>
      <c r="J9" s="17" t="n">
        <f aca="false">(Assumptions!B33*Assumptions!B34*Assumptions!B32)+(Assumptions!B36*Assumptions!B37*Assumptions!B32)</f>
        <v>8112</v>
      </c>
      <c r="K9" s="17" t="n">
        <f aca="false">(Assumptions!B33*Assumptions!B34*Assumptions!B32)+(Assumptions!B36*Assumptions!B37*Assumptions!B32)</f>
        <v>8112</v>
      </c>
      <c r="L9" s="17" t="n">
        <f aca="false">(Assumptions!B33*Assumptions!B34*Assumptions!B32)+(Assumptions!B36*Assumptions!B37*Assumptions!B32)</f>
        <v>8112</v>
      </c>
      <c r="M9" s="17" t="n">
        <f aca="false">(Assumptions!B33*Assumptions!B34*Assumptions!B32)+(Assumptions!B36*Assumptions!B37*Assumptions!B32)</f>
        <v>8112</v>
      </c>
      <c r="O9" s="17" t="n">
        <f aca="false">(Assumptions!C33*Assumptions!B34*Assumptions!B32)+(Assumptions!C36*Assumptions!B37*Assumptions!B32)</f>
        <v>16224</v>
      </c>
      <c r="P9" s="17" t="n">
        <f aca="false">(Assumptions!C33*Assumptions!B34*Assumptions!B32)+(Assumptions!C36*Assumptions!B37*Assumptions!B32)</f>
        <v>16224</v>
      </c>
      <c r="Q9" s="17" t="n">
        <f aca="false">(Assumptions!C33*Assumptions!B34*Assumptions!B32)+(Assumptions!C36*Assumptions!B37*Assumptions!B32)</f>
        <v>16224</v>
      </c>
      <c r="R9" s="17" t="n">
        <f aca="false">(Assumptions!C33*Assumptions!B34*Assumptions!B32)+(Assumptions!C36*Assumptions!B37*Assumptions!B32)</f>
        <v>16224</v>
      </c>
      <c r="S9" s="17" t="n">
        <f aca="false">(Assumptions!C33*Assumptions!B34*Assumptions!B32)+(Assumptions!C36*Assumptions!B37*Assumptions!B32)</f>
        <v>16224</v>
      </c>
      <c r="T9" s="17" t="n">
        <f aca="false">(Assumptions!C33*Assumptions!B34*Assumptions!B32)+(Assumptions!C36*Assumptions!B37*Assumptions!B32)</f>
        <v>16224</v>
      </c>
      <c r="U9" s="17" t="n">
        <f aca="false">(Assumptions!C33*Assumptions!B34*Assumptions!B32)+(Assumptions!C36*Assumptions!B37*Assumptions!B32)</f>
        <v>16224</v>
      </c>
      <c r="V9" s="17" t="n">
        <f aca="false">(Assumptions!C33*Assumptions!B34*Assumptions!B32)+(Assumptions!C36*Assumptions!B37*Assumptions!B32)</f>
        <v>16224</v>
      </c>
      <c r="W9" s="17" t="n">
        <f aca="false">(Assumptions!C33*Assumptions!B34*Assumptions!B32)+(Assumptions!C36*Assumptions!B37*Assumptions!B32)</f>
        <v>16224</v>
      </c>
      <c r="X9" s="17" t="n">
        <f aca="false">(Assumptions!C33*Assumptions!B34*Assumptions!B32)+(Assumptions!C36*Assumptions!B37*Assumptions!B32)</f>
        <v>16224</v>
      </c>
      <c r="Y9" s="17" t="n">
        <f aca="false">(Assumptions!C33*Assumptions!B34*Assumptions!B32)+(Assumptions!C36*Assumptions!B37*Assumptions!B32)</f>
        <v>16224</v>
      </c>
      <c r="Z9" s="17" t="n">
        <f aca="false">(Assumptions!C33*Assumptions!B34*Assumptions!B32)+(Assumptions!C36*Assumptions!B37*Assumptions!B32)</f>
        <v>16224</v>
      </c>
      <c r="AB9" s="17" t="n">
        <f aca="false">(Assumptions!D33*Assumptions!B34*Assumptions!B32)+(Assumptions!D36*Assumptions!B37*Assumptions!B32)</f>
        <v>28184</v>
      </c>
      <c r="AC9" s="17" t="n">
        <f aca="false">(Assumptions!D33*Assumptions!B34*Assumptions!B32)+(Assumptions!D36*Assumptions!B37*Assumptions!B32)</f>
        <v>28184</v>
      </c>
      <c r="AD9" s="17" t="n">
        <f aca="false">(Assumptions!D33*Assumptions!B34*Assumptions!B32)+(Assumptions!D36*Assumptions!B37*Assumptions!B32)</f>
        <v>28184</v>
      </c>
      <c r="AE9" s="17" t="n">
        <f aca="false">(Assumptions!D33*Assumptions!B34*Assumptions!B32)+(Assumptions!D36*Assumptions!B37*Assumptions!B32)</f>
        <v>28184</v>
      </c>
      <c r="AF9" s="17" t="n">
        <f aca="false">(Assumptions!D33*Assumptions!B34*Assumptions!B32)+(Assumptions!D36*Assumptions!B37*Assumptions!B32)</f>
        <v>28184</v>
      </c>
      <c r="AG9" s="17" t="n">
        <f aca="false">(Assumptions!D33*Assumptions!B34*Assumptions!B32)+(Assumptions!D36*Assumptions!B37*Assumptions!B32)</f>
        <v>28184</v>
      </c>
      <c r="AH9" s="17" t="n">
        <f aca="false">(Assumptions!D33*Assumptions!B34*Assumptions!B32)+(Assumptions!D36*Assumptions!B37*Assumptions!B32)</f>
        <v>28184</v>
      </c>
      <c r="AI9" s="17" t="n">
        <f aca="false">(Assumptions!D33*Assumptions!B34*Assumptions!B32)+(Assumptions!D36*Assumptions!B37*Assumptions!B32)</f>
        <v>28184</v>
      </c>
      <c r="AJ9" s="17" t="n">
        <f aca="false">(Assumptions!D33*Assumptions!B34*Assumptions!B32)+(Assumptions!D36*Assumptions!B37*Assumptions!B32)</f>
        <v>28184</v>
      </c>
      <c r="AK9" s="17" t="n">
        <f aca="false">(Assumptions!D33*Assumptions!B34*Assumptions!B32)+(Assumptions!D36*Assumptions!B37*Assumptions!B32)</f>
        <v>28184</v>
      </c>
      <c r="AL9" s="17" t="n">
        <f aca="false">(Assumptions!D33*Assumptions!B34*Assumptions!B32)+(Assumptions!D36*Assumptions!B37*Assumptions!B32)</f>
        <v>28184</v>
      </c>
      <c r="AM9" s="17" t="n">
        <f aca="false">(Assumptions!D33*Assumptions!B34*Assumptions!B32)+(Assumptions!D36*Assumptions!B37*Assumptions!B32)</f>
        <v>28184</v>
      </c>
      <c r="AO9" s="13"/>
      <c r="AP9" s="13"/>
      <c r="AQ9" s="13"/>
    </row>
    <row r="10" customFormat="false" ht="15" hidden="false" customHeight="true" outlineLevel="0" collapsed="false">
      <c r="A10" s="13" t="s">
        <v>163</v>
      </c>
      <c r="B10" s="32" t="n">
        <f aca="false">MIN(B8,B9*Assumptions!B42)</f>
        <v>240</v>
      </c>
      <c r="C10" s="32" t="n">
        <f aca="false">MIN(C8,C9*Assumptions!B42)</f>
        <v>285.17538487229</v>
      </c>
      <c r="D10" s="32" t="n">
        <f aca="false">MIN(D8,D9*Assumptions!B42)</f>
        <v>338.854167237744</v>
      </c>
      <c r="E10" s="32" t="n">
        <f aca="false">MIN(E8,E9*Assumptions!B42)</f>
        <v>402.636948156678</v>
      </c>
      <c r="F10" s="32" t="n">
        <f aca="false">MIN(F8,F9*Assumptions!B42)</f>
        <v>478.425611059936</v>
      </c>
      <c r="G10" s="32" t="n">
        <f aca="false">MIN(G8,G9*Assumptions!B42)</f>
        <v>568.480032361574</v>
      </c>
      <c r="H10" s="32" t="n">
        <f aca="false">MIN(H8,H9*Assumptions!B42)</f>
        <v>675.485466753847</v>
      </c>
      <c r="I10" s="32" t="n">
        <f aca="false">MIN(I8,I9*Assumptions!B42)</f>
        <v>802.632616488194</v>
      </c>
      <c r="J10" s="32" t="n">
        <f aca="false">MIN(J8,J9*Assumptions!B42)</f>
        <v>953.71277215864</v>
      </c>
      <c r="K10" s="32" t="n">
        <f aca="false">MIN(K8,K9*Assumptions!B42)</f>
        <v>1133.23086190816</v>
      </c>
      <c r="L10" s="32" t="n">
        <f aca="false">MIN(L8,L9*Assumptions!B42)</f>
        <v>1346.53977997423</v>
      </c>
      <c r="M10" s="32" t="n">
        <f aca="false">MIN(M8,M9*Assumptions!B42)</f>
        <v>1600</v>
      </c>
      <c r="O10" s="32" t="n">
        <f aca="false">MIN(O8,O9*Assumptions!B42)</f>
        <v>2469.41650628062</v>
      </c>
      <c r="P10" s="32" t="n">
        <f aca="false">MIN(P8,P9*Assumptions!B42)</f>
        <v>2771.82630976872</v>
      </c>
      <c r="Q10" s="32" t="n">
        <f aca="false">MIN(Q8,Q9*Assumptions!B42)</f>
        <v>3111.26983722081</v>
      </c>
      <c r="R10" s="32" t="n">
        <f aca="false">MIN(R8,R9*Assumptions!B42)</f>
        <v>3492.28231433004</v>
      </c>
      <c r="S10" s="32" t="n">
        <f aca="false">MIN(S8,S9*Assumptions!B42)</f>
        <v>3919.95435981749</v>
      </c>
      <c r="T10" s="32" t="n">
        <f aca="false">MIN(T8,T9*Assumptions!B42)</f>
        <v>4400</v>
      </c>
      <c r="U10" s="32" t="n">
        <f aca="false">MIN(U8,U9*Assumptions!B42)</f>
        <v>4938.83301256124</v>
      </c>
      <c r="V10" s="32" t="n">
        <f aca="false">MIN(V8,V9*Assumptions!B42)</f>
        <v>5543.65261953744</v>
      </c>
      <c r="W10" s="32" t="n">
        <f aca="false">MIN(W8,W9*Assumptions!B42)</f>
        <v>6222.53967444162</v>
      </c>
      <c r="X10" s="32" t="n">
        <f aca="false">MIN(X8,X9*Assumptions!B42)</f>
        <v>6984.56462866008</v>
      </c>
      <c r="Y10" s="32" t="n">
        <f aca="false">MIN(Y8,Y9*Assumptions!B42)</f>
        <v>7839.90871963499</v>
      </c>
      <c r="Z10" s="32" t="n">
        <f aca="false">MIN(Z8,Z9*Assumptions!B42)</f>
        <v>8800</v>
      </c>
      <c r="AB10" s="32" t="n">
        <f aca="false">MIN(AB8,AB9*Assumptions!B42)</f>
        <v>11865.9866568241</v>
      </c>
      <c r="AC10" s="32" t="n">
        <f aca="false">MIN(AC8,AC9*Assumptions!B42)</f>
        <v>12571.574941065</v>
      </c>
      <c r="AD10" s="32" t="n">
        <f aca="false">MIN(AD8,AD9*Assumptions!B42)</f>
        <v>13319.1196880305</v>
      </c>
      <c r="AE10" s="32" t="n">
        <f aca="false">MIN(AE8,AE9*Assumptions!B42)</f>
        <v>14111.1157588226</v>
      </c>
      <c r="AF10" s="32" t="n">
        <f aca="false">MIN(AF8,AF9*Assumptions!B42)</f>
        <v>14950.2063667044</v>
      </c>
      <c r="AG10" s="32" t="n">
        <f aca="false">MIN(AG8,AG9*Assumptions!B42)</f>
        <v>15839.1918985787</v>
      </c>
      <c r="AH10" s="32" t="n">
        <f aca="false">MIN(AH8,AH9*Assumptions!B42)</f>
        <v>16781.0392610188</v>
      </c>
      <c r="AI10" s="32" t="n">
        <f aca="false">MIN(AI8,AI9*Assumptions!B42)</f>
        <v>17778.8917820438</v>
      </c>
      <c r="AJ10" s="32" t="n">
        <f aca="false">MIN(AJ8,AJ9*Assumptions!B42)</f>
        <v>18836.0797016832</v>
      </c>
      <c r="AK10" s="32" t="n">
        <f aca="false">MIN(AK8,AK9*Assumptions!B42)</f>
        <v>19956.1312863436</v>
      </c>
      <c r="AL10" s="32" t="n">
        <f aca="false">MIN(AL8,AL9*Assumptions!B42)</f>
        <v>21138</v>
      </c>
      <c r="AM10" s="32" t="n">
        <f aca="false">MIN(AM8,AM9*Assumptions!B42)</f>
        <v>21138</v>
      </c>
      <c r="AO10" s="33" t="n">
        <f aca="false">SUM(B10:M10)</f>
        <v>8825.17364097129</v>
      </c>
      <c r="AP10" s="33" t="n">
        <f aca="false">SUM(O10:Z10)</f>
        <v>60494.247982253</v>
      </c>
      <c r="AQ10" s="33" t="n">
        <f aca="false">SUM(AB10:AM10)</f>
        <v>198285.337341115</v>
      </c>
    </row>
    <row r="11" customFormat="false" ht="15" hidden="false" customHeight="true" outlineLevel="0" collapsed="false">
      <c r="A11" s="34" t="s">
        <v>164</v>
      </c>
      <c r="B11" s="35" t="n">
        <f aca="false">ROUND(B10*Assumptions!B22,0)</f>
        <v>173</v>
      </c>
      <c r="C11" s="35" t="n">
        <f aca="false">ROUND(C10*Assumptions!B22,0)</f>
        <v>205</v>
      </c>
      <c r="D11" s="35" t="n">
        <f aca="false">ROUND(D10*Assumptions!B22,0)</f>
        <v>244</v>
      </c>
      <c r="E11" s="35" t="n">
        <f aca="false">ROUND(E10*Assumptions!B22,0)</f>
        <v>290</v>
      </c>
      <c r="F11" s="35" t="n">
        <f aca="false">ROUND(F10*Assumptions!B22,0)</f>
        <v>344</v>
      </c>
      <c r="G11" s="35" t="n">
        <f aca="false">ROUND(G10*Assumptions!B22,0)</f>
        <v>409</v>
      </c>
      <c r="H11" s="35" t="n">
        <f aca="false">ROUND(H10*Assumptions!B22,0)</f>
        <v>486</v>
      </c>
      <c r="I11" s="35" t="n">
        <f aca="false">ROUND(I10*Assumptions!B22,0)</f>
        <v>578</v>
      </c>
      <c r="J11" s="35" t="n">
        <f aca="false">ROUND(J10*Assumptions!B22,0)</f>
        <v>687</v>
      </c>
      <c r="K11" s="35" t="n">
        <f aca="false">ROUND(K10*Assumptions!B22,0)</f>
        <v>816</v>
      </c>
      <c r="L11" s="35" t="n">
        <f aca="false">ROUND(L10*Assumptions!B22,0)</f>
        <v>970</v>
      </c>
      <c r="M11" s="35" t="n">
        <f aca="false">ROUND(M10*Assumptions!B22,0)</f>
        <v>1152</v>
      </c>
      <c r="O11" s="35" t="n">
        <f aca="false">ROUND(O10*Assumptions!B22,0)</f>
        <v>1778</v>
      </c>
      <c r="P11" s="35" t="n">
        <f aca="false">ROUND(P10*Assumptions!B22,0)</f>
        <v>1996</v>
      </c>
      <c r="Q11" s="35" t="n">
        <f aca="false">ROUND(Q10*Assumptions!B22,0)</f>
        <v>2240</v>
      </c>
      <c r="R11" s="35" t="n">
        <f aca="false">ROUND(R10*Assumptions!B22,0)</f>
        <v>2514</v>
      </c>
      <c r="S11" s="35" t="n">
        <f aca="false">ROUND(S10*Assumptions!B22,0)</f>
        <v>2822</v>
      </c>
      <c r="T11" s="35" t="n">
        <f aca="false">ROUND(T10*Assumptions!B22,0)</f>
        <v>3168</v>
      </c>
      <c r="U11" s="35" t="n">
        <f aca="false">ROUND(U10*Assumptions!B22,0)</f>
        <v>3556</v>
      </c>
      <c r="V11" s="35" t="n">
        <f aca="false">ROUND(V10*Assumptions!B22,0)</f>
        <v>3991</v>
      </c>
      <c r="W11" s="35" t="n">
        <f aca="false">ROUND(W10*Assumptions!B22,0)</f>
        <v>4480</v>
      </c>
      <c r="X11" s="35" t="n">
        <f aca="false">ROUND(X10*Assumptions!B22,0)</f>
        <v>5029</v>
      </c>
      <c r="Y11" s="35" t="n">
        <f aca="false">ROUND(Y10*Assumptions!B22,0)</f>
        <v>5645</v>
      </c>
      <c r="Z11" s="35" t="n">
        <f aca="false">ROUND(Z10*Assumptions!B22,0)</f>
        <v>6336</v>
      </c>
      <c r="AB11" s="35" t="n">
        <f aca="false">ROUND(AB10*Assumptions!B22,0)</f>
        <v>8544</v>
      </c>
      <c r="AC11" s="35" t="n">
        <f aca="false">ROUND(AC10*Assumptions!B22,0)</f>
        <v>9052</v>
      </c>
      <c r="AD11" s="35" t="n">
        <f aca="false">ROUND(AD10*Assumptions!B22,0)</f>
        <v>9590</v>
      </c>
      <c r="AE11" s="35" t="n">
        <f aca="false">ROUND(AE10*Assumptions!B22,0)</f>
        <v>10160</v>
      </c>
      <c r="AF11" s="35" t="n">
        <f aca="false">ROUND(AF10*Assumptions!B22,0)</f>
        <v>10764</v>
      </c>
      <c r="AG11" s="35" t="n">
        <f aca="false">ROUND(AG10*Assumptions!B22,0)</f>
        <v>11404</v>
      </c>
      <c r="AH11" s="35" t="n">
        <f aca="false">ROUND(AH10*Assumptions!B22,0)</f>
        <v>12082</v>
      </c>
      <c r="AI11" s="35" t="n">
        <f aca="false">ROUND(AI10*Assumptions!B22,0)</f>
        <v>12801</v>
      </c>
      <c r="AJ11" s="35" t="n">
        <f aca="false">ROUND(AJ10*Assumptions!B22,0)</f>
        <v>13562</v>
      </c>
      <c r="AK11" s="35" t="n">
        <f aca="false">ROUND(AK10*Assumptions!B22,0)</f>
        <v>14368</v>
      </c>
      <c r="AL11" s="35" t="n">
        <f aca="false">ROUND(AL10*Assumptions!B22,0)</f>
        <v>15219</v>
      </c>
      <c r="AM11" s="35" t="n">
        <f aca="false">ROUND(AM10*Assumptions!B22,0)</f>
        <v>15219</v>
      </c>
      <c r="AO11" s="36" t="n">
        <f aca="false">SUM(B11:M11)</f>
        <v>6354</v>
      </c>
      <c r="AP11" s="36" t="n">
        <f aca="false">SUM(O11:Z11)</f>
        <v>43555</v>
      </c>
      <c r="AQ11" s="36" t="n">
        <f aca="false">SUM(AB11:AM11)</f>
        <v>142765</v>
      </c>
    </row>
    <row r="12" customFormat="false" ht="15" hidden="false" customHeight="true" outlineLevel="0" collapsed="false">
      <c r="A12" s="34" t="s">
        <v>165</v>
      </c>
      <c r="B12" s="35" t="n">
        <f aca="false">B10-B11</f>
        <v>67</v>
      </c>
      <c r="C12" s="35" t="n">
        <f aca="false">C10-C11</f>
        <v>80.1753848722896</v>
      </c>
      <c r="D12" s="35" t="n">
        <f aca="false">D10-D11</f>
        <v>94.8541672377436</v>
      </c>
      <c r="E12" s="35" t="n">
        <f aca="false">E10-E11</f>
        <v>112.636948156678</v>
      </c>
      <c r="F12" s="35" t="n">
        <f aca="false">F10-F11</f>
        <v>134.425611059936</v>
      </c>
      <c r="G12" s="35" t="n">
        <f aca="false">G10-G11</f>
        <v>159.480032361574</v>
      </c>
      <c r="H12" s="35" t="n">
        <f aca="false">H10-H11</f>
        <v>189.485466753847</v>
      </c>
      <c r="I12" s="35" t="n">
        <f aca="false">I10-I11</f>
        <v>224.632616488194</v>
      </c>
      <c r="J12" s="35" t="n">
        <f aca="false">J10-J11</f>
        <v>266.71277215864</v>
      </c>
      <c r="K12" s="35" t="n">
        <f aca="false">K10-K11</f>
        <v>317.230861908159</v>
      </c>
      <c r="L12" s="35" t="n">
        <f aca="false">L10-L11</f>
        <v>376.539779974233</v>
      </c>
      <c r="M12" s="35" t="n">
        <f aca="false">M10-M11</f>
        <v>448</v>
      </c>
      <c r="O12" s="35" t="n">
        <f aca="false">O10-O11</f>
        <v>691.41650628062</v>
      </c>
      <c r="P12" s="35" t="n">
        <f aca="false">P10-P11</f>
        <v>775.82630976872</v>
      </c>
      <c r="Q12" s="35" t="n">
        <f aca="false">Q10-Q11</f>
        <v>871.269837220808</v>
      </c>
      <c r="R12" s="35" t="n">
        <f aca="false">R10-R11</f>
        <v>978.282314330038</v>
      </c>
      <c r="S12" s="35" t="n">
        <f aca="false">S10-S11</f>
        <v>1097.95435981749</v>
      </c>
      <c r="T12" s="35" t="n">
        <f aca="false">T10-T11</f>
        <v>1232</v>
      </c>
      <c r="U12" s="35" t="n">
        <f aca="false">U10-U11</f>
        <v>1382.83301256124</v>
      </c>
      <c r="V12" s="35" t="n">
        <f aca="false">V10-V11</f>
        <v>1552.65261953744</v>
      </c>
      <c r="W12" s="35" t="n">
        <f aca="false">W10-W11</f>
        <v>1742.53967444162</v>
      </c>
      <c r="X12" s="35" t="n">
        <f aca="false">X10-X11</f>
        <v>1955.56462866008</v>
      </c>
      <c r="Y12" s="35" t="n">
        <f aca="false">Y10-Y11</f>
        <v>2194.90871963499</v>
      </c>
      <c r="Z12" s="35" t="n">
        <f aca="false">Z10-Z11</f>
        <v>2464</v>
      </c>
      <c r="AB12" s="35" t="n">
        <f aca="false">AB10-AB11</f>
        <v>3321.98665682411</v>
      </c>
      <c r="AC12" s="35" t="n">
        <f aca="false">AC10-AC11</f>
        <v>3519.57494106498</v>
      </c>
      <c r="AD12" s="35" t="n">
        <f aca="false">AD10-AD11</f>
        <v>3729.11968803048</v>
      </c>
      <c r="AE12" s="35" t="n">
        <f aca="false">AE10-AE11</f>
        <v>3951.11575882258</v>
      </c>
      <c r="AF12" s="35" t="n">
        <f aca="false">AF10-AF11</f>
        <v>4186.20636670439</v>
      </c>
      <c r="AG12" s="35" t="n">
        <f aca="false">AG10-AG11</f>
        <v>4435.19189857867</v>
      </c>
      <c r="AH12" s="35" t="n">
        <f aca="false">AH10-AH11</f>
        <v>4699.03926101884</v>
      </c>
      <c r="AI12" s="35" t="n">
        <f aca="false">AI10-AI11</f>
        <v>4977.89178204384</v>
      </c>
      <c r="AJ12" s="35" t="n">
        <f aca="false">AJ10-AJ11</f>
        <v>5274.07970168322</v>
      </c>
      <c r="AK12" s="35" t="n">
        <f aca="false">AK10-AK11</f>
        <v>5588.13128634361</v>
      </c>
      <c r="AL12" s="35" t="n">
        <f aca="false">AL10-AL11</f>
        <v>5919</v>
      </c>
      <c r="AM12" s="35" t="n">
        <f aca="false">AM10-AM11</f>
        <v>5919</v>
      </c>
      <c r="AO12" s="36" t="n">
        <f aca="false">SUM(B12:M12)</f>
        <v>2471.17364097129</v>
      </c>
      <c r="AP12" s="36" t="n">
        <f aca="false">SUM(O12:Z12)</f>
        <v>16939.247982253</v>
      </c>
      <c r="AQ12" s="36" t="n">
        <f aca="false">SUM(AB12:AM12)</f>
        <v>55520.3373411147</v>
      </c>
    </row>
    <row r="13" customFormat="false" ht="15" hidden="false" customHeight="true" outlineLevel="0" collapsed="false">
      <c r="A13" s="13" t="s">
        <v>166</v>
      </c>
      <c r="B13" s="35" t="n">
        <f aca="false">ROUND(B10*Assumptions!B25,0)</f>
        <v>84</v>
      </c>
      <c r="C13" s="35" t="n">
        <f aca="false">ROUND(C10*Assumptions!B25,0)</f>
        <v>100</v>
      </c>
      <c r="D13" s="35" t="n">
        <f aca="false">ROUND(D10*Assumptions!B25,0)</f>
        <v>119</v>
      </c>
      <c r="E13" s="35" t="n">
        <f aca="false">ROUND(E10*Assumptions!B25,0)</f>
        <v>141</v>
      </c>
      <c r="F13" s="35" t="n">
        <f aca="false">ROUND(F10*Assumptions!B25,0)</f>
        <v>167</v>
      </c>
      <c r="G13" s="35" t="n">
        <f aca="false">ROUND(G10*Assumptions!B25,0)</f>
        <v>199</v>
      </c>
      <c r="H13" s="35" t="n">
        <f aca="false">ROUND(H10*Assumptions!B25,0)</f>
        <v>236</v>
      </c>
      <c r="I13" s="35" t="n">
        <f aca="false">ROUND(I10*Assumptions!B25,0)</f>
        <v>281</v>
      </c>
      <c r="J13" s="35" t="n">
        <f aca="false">ROUND(J10*Assumptions!B25,0)</f>
        <v>334</v>
      </c>
      <c r="K13" s="35" t="n">
        <f aca="false">ROUND(K10*Assumptions!B25,0)</f>
        <v>397</v>
      </c>
      <c r="L13" s="35" t="n">
        <f aca="false">ROUND(L10*Assumptions!B25,0)</f>
        <v>471</v>
      </c>
      <c r="M13" s="35" t="n">
        <f aca="false">ROUND(M10*Assumptions!B25,0)</f>
        <v>560</v>
      </c>
      <c r="O13" s="35" t="n">
        <f aca="false">ROUND(O10*Assumptions!C25,0)</f>
        <v>691</v>
      </c>
      <c r="P13" s="35" t="n">
        <f aca="false">ROUND(P10*Assumptions!C25,0)</f>
        <v>776</v>
      </c>
      <c r="Q13" s="35" t="n">
        <f aca="false">ROUND(Q10*Assumptions!C25,0)</f>
        <v>871</v>
      </c>
      <c r="R13" s="35" t="n">
        <f aca="false">ROUND(R10*Assumptions!C25,0)</f>
        <v>978</v>
      </c>
      <c r="S13" s="35" t="n">
        <f aca="false">ROUND(S10*Assumptions!C25,0)</f>
        <v>1098</v>
      </c>
      <c r="T13" s="35" t="n">
        <f aca="false">ROUND(T10*Assumptions!C25,0)</f>
        <v>1232</v>
      </c>
      <c r="U13" s="35" t="n">
        <f aca="false">ROUND(U10*Assumptions!C25,0)</f>
        <v>1383</v>
      </c>
      <c r="V13" s="35" t="n">
        <f aca="false">ROUND(V10*Assumptions!C25,0)</f>
        <v>1552</v>
      </c>
      <c r="W13" s="35" t="n">
        <f aca="false">ROUND(W10*Assumptions!C25,0)</f>
        <v>1742</v>
      </c>
      <c r="X13" s="35" t="n">
        <f aca="false">ROUND(X10*Assumptions!C25,0)</f>
        <v>1956</v>
      </c>
      <c r="Y13" s="35" t="n">
        <f aca="false">ROUND(Y10*Assumptions!C25,0)</f>
        <v>2195</v>
      </c>
      <c r="Z13" s="35" t="n">
        <f aca="false">ROUND(Z10*Assumptions!C25,0)</f>
        <v>2464</v>
      </c>
      <c r="AB13" s="35" t="n">
        <f aca="false">ROUND(AB10*Assumptions!D25,0)</f>
        <v>2611</v>
      </c>
      <c r="AC13" s="35" t="n">
        <f aca="false">ROUND(AC10*Assumptions!D25,0)</f>
        <v>2766</v>
      </c>
      <c r="AD13" s="35" t="n">
        <f aca="false">ROUND(AD10*Assumptions!D25,0)</f>
        <v>2930</v>
      </c>
      <c r="AE13" s="35" t="n">
        <f aca="false">ROUND(AE10*Assumptions!D25,0)</f>
        <v>3104</v>
      </c>
      <c r="AF13" s="35" t="n">
        <f aca="false">ROUND(AF10*Assumptions!D25,0)</f>
        <v>3289</v>
      </c>
      <c r="AG13" s="35" t="n">
        <f aca="false">ROUND(AG10*Assumptions!D25,0)</f>
        <v>3485</v>
      </c>
      <c r="AH13" s="35" t="n">
        <f aca="false">ROUND(AH10*Assumptions!D25,0)</f>
        <v>3692</v>
      </c>
      <c r="AI13" s="35" t="n">
        <f aca="false">ROUND(AI10*Assumptions!D25,0)</f>
        <v>3911</v>
      </c>
      <c r="AJ13" s="35" t="n">
        <f aca="false">ROUND(AJ10*Assumptions!D25,0)</f>
        <v>4144</v>
      </c>
      <c r="AK13" s="35" t="n">
        <f aca="false">ROUND(AK10*Assumptions!D25,0)</f>
        <v>4390</v>
      </c>
      <c r="AL13" s="35" t="n">
        <f aca="false">ROUND(AL10*Assumptions!D25,0)</f>
        <v>4650</v>
      </c>
      <c r="AM13" s="35" t="n">
        <f aca="false">ROUND(AM10*Assumptions!D25,0)</f>
        <v>4650</v>
      </c>
      <c r="AO13" s="36" t="n">
        <f aca="false">SUM(B13:M13)</f>
        <v>3089</v>
      </c>
      <c r="AP13" s="36" t="n">
        <f aca="false">SUM(O13:Z13)</f>
        <v>16938</v>
      </c>
      <c r="AQ13" s="36" t="n">
        <f aca="false">SUM(AB13:AM13)</f>
        <v>43622</v>
      </c>
    </row>
    <row r="14" customFormat="false" ht="15" hidden="false" customHeight="true" outlineLevel="0" collapsed="false">
      <c r="A14" s="13" t="s">
        <v>167</v>
      </c>
      <c r="B14" s="35" t="n">
        <f aca="false">ROUND(B10*Assumptions!B28,0)</f>
        <v>14</v>
      </c>
      <c r="C14" s="35" t="n">
        <f aca="false">ROUND(C10*Assumptions!B28,0)</f>
        <v>17</v>
      </c>
      <c r="D14" s="35" t="n">
        <f aca="false">ROUND(D10*Assumptions!B28,0)</f>
        <v>20</v>
      </c>
      <c r="E14" s="35" t="n">
        <f aca="false">ROUND(E10*Assumptions!B28,0)</f>
        <v>24</v>
      </c>
      <c r="F14" s="35" t="n">
        <f aca="false">ROUND(F10*Assumptions!B28,0)</f>
        <v>29</v>
      </c>
      <c r="G14" s="35" t="n">
        <f aca="false">ROUND(G10*Assumptions!B28,0)</f>
        <v>34</v>
      </c>
      <c r="H14" s="35" t="n">
        <f aca="false">ROUND(H10*Assumptions!B28,0)</f>
        <v>41</v>
      </c>
      <c r="I14" s="35" t="n">
        <f aca="false">ROUND(I10*Assumptions!B28,0)</f>
        <v>48</v>
      </c>
      <c r="J14" s="35" t="n">
        <f aca="false">ROUND(J10*Assumptions!B28,0)</f>
        <v>57</v>
      </c>
      <c r="K14" s="35" t="n">
        <f aca="false">ROUND(K10*Assumptions!B28,0)</f>
        <v>68</v>
      </c>
      <c r="L14" s="35" t="n">
        <f aca="false">ROUND(L10*Assumptions!B28,0)</f>
        <v>81</v>
      </c>
      <c r="M14" s="35" t="n">
        <f aca="false">ROUND(M10*Assumptions!B28,0)</f>
        <v>96</v>
      </c>
      <c r="O14" s="35" t="n">
        <f aca="false">ROUND(O10*Assumptions!B28,0)</f>
        <v>148</v>
      </c>
      <c r="P14" s="35" t="n">
        <f aca="false">ROUND(P10*Assumptions!B28,0)</f>
        <v>166</v>
      </c>
      <c r="Q14" s="35" t="n">
        <f aca="false">ROUND(Q10*Assumptions!B28,0)</f>
        <v>187</v>
      </c>
      <c r="R14" s="35" t="n">
        <f aca="false">ROUND(R10*Assumptions!B28,0)</f>
        <v>210</v>
      </c>
      <c r="S14" s="35" t="n">
        <f aca="false">ROUND(S10*Assumptions!B28,0)</f>
        <v>235</v>
      </c>
      <c r="T14" s="35" t="n">
        <f aca="false">ROUND(T10*Assumptions!B28,0)</f>
        <v>264</v>
      </c>
      <c r="U14" s="35" t="n">
        <f aca="false">ROUND(U10*Assumptions!B28,0)</f>
        <v>296</v>
      </c>
      <c r="V14" s="35" t="n">
        <f aca="false">ROUND(V10*Assumptions!B28,0)</f>
        <v>333</v>
      </c>
      <c r="W14" s="35" t="n">
        <f aca="false">ROUND(W10*Assumptions!B28,0)</f>
        <v>373</v>
      </c>
      <c r="X14" s="35" t="n">
        <f aca="false">ROUND(X10*Assumptions!B28,0)</f>
        <v>419</v>
      </c>
      <c r="Y14" s="35" t="n">
        <f aca="false">ROUND(Y10*Assumptions!B28,0)</f>
        <v>470</v>
      </c>
      <c r="Z14" s="35" t="n">
        <f aca="false">ROUND(Z10*Assumptions!B28,0)</f>
        <v>528</v>
      </c>
      <c r="AB14" s="35" t="n">
        <f aca="false">ROUND(AB10*Assumptions!B28,0)</f>
        <v>712</v>
      </c>
      <c r="AC14" s="35" t="n">
        <f aca="false">ROUND(AC10*Assumptions!B28,0)</f>
        <v>754</v>
      </c>
      <c r="AD14" s="35" t="n">
        <f aca="false">ROUND(AD10*Assumptions!B28,0)</f>
        <v>799</v>
      </c>
      <c r="AE14" s="35" t="n">
        <f aca="false">ROUND(AE10*Assumptions!B28,0)</f>
        <v>847</v>
      </c>
      <c r="AF14" s="35" t="n">
        <f aca="false">ROUND(AF10*Assumptions!B28,0)</f>
        <v>897</v>
      </c>
      <c r="AG14" s="35" t="n">
        <f aca="false">ROUND(AG10*Assumptions!B28,0)</f>
        <v>950</v>
      </c>
      <c r="AH14" s="35" t="n">
        <f aca="false">ROUND(AH10*Assumptions!B28,0)</f>
        <v>1007</v>
      </c>
      <c r="AI14" s="35" t="n">
        <f aca="false">ROUND(AI10*Assumptions!B28,0)</f>
        <v>1067</v>
      </c>
      <c r="AJ14" s="35" t="n">
        <f aca="false">ROUND(AJ10*Assumptions!B28,0)</f>
        <v>1130</v>
      </c>
      <c r="AK14" s="35" t="n">
        <f aca="false">ROUND(AK10*Assumptions!B28,0)</f>
        <v>1197</v>
      </c>
      <c r="AL14" s="35" t="n">
        <f aca="false">ROUND(AL10*Assumptions!B28,0)</f>
        <v>1268</v>
      </c>
      <c r="AM14" s="35" t="n">
        <f aca="false">ROUND(AM10*Assumptions!B28,0)</f>
        <v>1268</v>
      </c>
      <c r="AO14" s="36" t="n">
        <f aca="false">SUM(B14:M14)</f>
        <v>529</v>
      </c>
      <c r="AP14" s="36" t="n">
        <f aca="false">SUM(O14:Z14)</f>
        <v>3629</v>
      </c>
      <c r="AQ14" s="36" t="n">
        <f aca="false">SUM(AB14:AM14)</f>
        <v>11896</v>
      </c>
    </row>
    <row r="15" customFormat="false" ht="15" hidden="false" customHeight="true" outlineLevel="0" collapsed="false">
      <c r="A15" s="22" t="s">
        <v>168</v>
      </c>
      <c r="B15" s="31" t="n">
        <f aca="false">IFERROR(ROUND(B10/Assumptions!B43,0),0)</f>
        <v>273</v>
      </c>
      <c r="C15" s="31" t="n">
        <f aca="false">IFERROR(ROUND(C10/Assumptions!B43,0),0)</f>
        <v>324</v>
      </c>
      <c r="D15" s="31" t="n">
        <f aca="false">IFERROR(ROUND(D10/Assumptions!B43,0),0)</f>
        <v>385</v>
      </c>
      <c r="E15" s="31" t="n">
        <f aca="false">IFERROR(ROUND(E10/Assumptions!B43,0),0)</f>
        <v>458</v>
      </c>
      <c r="F15" s="31" t="n">
        <f aca="false">IFERROR(ROUND(F10/Assumptions!B43,0),0)</f>
        <v>544</v>
      </c>
      <c r="G15" s="31" t="n">
        <f aca="false">IFERROR(ROUND(G10/Assumptions!B43,0),0)</f>
        <v>646</v>
      </c>
      <c r="H15" s="31" t="n">
        <f aca="false">IFERROR(ROUND(H10/Assumptions!B43,0),0)</f>
        <v>768</v>
      </c>
      <c r="I15" s="31" t="n">
        <f aca="false">IFERROR(ROUND(I10/Assumptions!B43,0),0)</f>
        <v>912</v>
      </c>
      <c r="J15" s="31" t="n">
        <f aca="false">IFERROR(ROUND(J10/Assumptions!B43,0),0)</f>
        <v>1084</v>
      </c>
      <c r="K15" s="31" t="n">
        <f aca="false">IFERROR(ROUND(K10/Assumptions!B43,0),0)</f>
        <v>1288</v>
      </c>
      <c r="L15" s="31" t="n">
        <f aca="false">IFERROR(ROUND(L10/Assumptions!B43,0),0)</f>
        <v>1530</v>
      </c>
      <c r="M15" s="31" t="n">
        <f aca="false">IFERROR(ROUND(M10/Assumptions!B43,0),0)</f>
        <v>1818</v>
      </c>
      <c r="O15" s="31" t="n">
        <f aca="false">IFERROR(ROUND(O10/Assumptions!B43,0),0)</f>
        <v>2806</v>
      </c>
      <c r="P15" s="31" t="n">
        <f aca="false">IFERROR(ROUND(P10/Assumptions!B43,0),0)</f>
        <v>3150</v>
      </c>
      <c r="Q15" s="31" t="n">
        <f aca="false">IFERROR(ROUND(Q10/Assumptions!B43,0),0)</f>
        <v>3536</v>
      </c>
      <c r="R15" s="31" t="n">
        <f aca="false">IFERROR(ROUND(R10/Assumptions!B43,0),0)</f>
        <v>3969</v>
      </c>
      <c r="S15" s="31" t="n">
        <f aca="false">IFERROR(ROUND(S10/Assumptions!B43,0),0)</f>
        <v>4454</v>
      </c>
      <c r="T15" s="31" t="n">
        <f aca="false">IFERROR(ROUND(T10/Assumptions!B43,0),0)</f>
        <v>5000</v>
      </c>
      <c r="U15" s="31" t="n">
        <f aca="false">IFERROR(ROUND(U10/Assumptions!B43,0),0)</f>
        <v>5612</v>
      </c>
      <c r="V15" s="31" t="n">
        <f aca="false">IFERROR(ROUND(V10/Assumptions!B43,0),0)</f>
        <v>6300</v>
      </c>
      <c r="W15" s="31" t="n">
        <f aca="false">IFERROR(ROUND(W10/Assumptions!B43,0),0)</f>
        <v>7071</v>
      </c>
      <c r="X15" s="31" t="n">
        <f aca="false">IFERROR(ROUND(X10/Assumptions!B43,0),0)</f>
        <v>7937</v>
      </c>
      <c r="Y15" s="31" t="n">
        <f aca="false">IFERROR(ROUND(Y10/Assumptions!B43,0),0)</f>
        <v>8909</v>
      </c>
      <c r="Z15" s="31" t="n">
        <f aca="false">IFERROR(ROUND(Z10/Assumptions!B43,0),0)</f>
        <v>10000</v>
      </c>
      <c r="AB15" s="31" t="n">
        <f aca="false">IFERROR(ROUND(AB10/Assumptions!B43,0),0)</f>
        <v>13484</v>
      </c>
      <c r="AC15" s="31" t="n">
        <f aca="false">IFERROR(ROUND(AC10/Assumptions!B43,0),0)</f>
        <v>14286</v>
      </c>
      <c r="AD15" s="31" t="n">
        <f aca="false">IFERROR(ROUND(AD10/Assumptions!B43,0),0)</f>
        <v>15135</v>
      </c>
      <c r="AE15" s="31" t="n">
        <f aca="false">IFERROR(ROUND(AE10/Assumptions!B43,0),0)</f>
        <v>16035</v>
      </c>
      <c r="AF15" s="31" t="n">
        <f aca="false">IFERROR(ROUND(AF10/Assumptions!B43,0),0)</f>
        <v>16989</v>
      </c>
      <c r="AG15" s="31" t="n">
        <f aca="false">IFERROR(ROUND(AG10/Assumptions!B43,0),0)</f>
        <v>17999</v>
      </c>
      <c r="AH15" s="31" t="n">
        <f aca="false">IFERROR(ROUND(AH10/Assumptions!B43,0),0)</f>
        <v>19069</v>
      </c>
      <c r="AI15" s="31" t="n">
        <f aca="false">IFERROR(ROUND(AI10/Assumptions!B43,0),0)</f>
        <v>20203</v>
      </c>
      <c r="AJ15" s="31" t="n">
        <f aca="false">IFERROR(ROUND(AJ10/Assumptions!B43,0),0)</f>
        <v>21405</v>
      </c>
      <c r="AK15" s="31" t="n">
        <f aca="false">IFERROR(ROUND(AK10/Assumptions!B43,0),0)</f>
        <v>22677</v>
      </c>
      <c r="AL15" s="31" t="n">
        <f aca="false">IFERROR(ROUND(AL10/Assumptions!B43,0),0)</f>
        <v>24020</v>
      </c>
      <c r="AM15" s="31" t="n">
        <f aca="false">IFERROR(ROUND(AM10/Assumptions!B43,0),0)</f>
        <v>24020</v>
      </c>
      <c r="AO15" s="36" t="n">
        <f aca="false">SUM(B15:M15)</f>
        <v>10030</v>
      </c>
      <c r="AP15" s="36" t="n">
        <f aca="false">SUM(O15:Z15)</f>
        <v>68744</v>
      </c>
      <c r="AQ15" s="36" t="n">
        <f aca="false">SUM(AB15:AM15)</f>
        <v>225322</v>
      </c>
    </row>
    <row r="16" customFormat="false" ht="15" hidden="false" customHeight="true" outlineLevel="0" collapsed="false">
      <c r="A16" s="13" t="s">
        <v>169</v>
      </c>
      <c r="B16" s="37" t="n">
        <f aca="false">IFERROR(B10/Assumptions!B11,0)</f>
        <v>0.000263157894736842</v>
      </c>
      <c r="C16" s="37" t="n">
        <f aca="false">IFERROR(C10/Assumptions!B11,0)</f>
        <v>0.000312692307974002</v>
      </c>
      <c r="D16" s="37" t="n">
        <f aca="false">IFERROR(D10/Assumptions!B11,0)</f>
        <v>0.00037155062197121</v>
      </c>
      <c r="E16" s="37" t="n">
        <f aca="false">IFERROR(E10/Assumptions!B11,0)</f>
        <v>0.000441487881750743</v>
      </c>
      <c r="F16" s="37" t="n">
        <f aca="false">IFERROR(F10/Assumptions!B11,0)</f>
        <v>0.000524589485811334</v>
      </c>
      <c r="G16" s="37" t="n">
        <f aca="false">IFERROR(G10/Assumptions!B11,0)</f>
        <v>0.000623333368817515</v>
      </c>
      <c r="H16" s="37" t="n">
        <f aca="false">IFERROR(H10/Assumptions!B11,0)</f>
        <v>0.000740663888984482</v>
      </c>
      <c r="I16" s="37" t="n">
        <f aca="false">IFERROR(I10/Assumptions!B11,0)</f>
        <v>0.000880079623342318</v>
      </c>
      <c r="J16" s="37" t="n">
        <f aca="false">IFERROR(J10/Assumptions!B11,0)</f>
        <v>0.00104573768877044</v>
      </c>
      <c r="K16" s="37" t="n">
        <f aca="false">IFERROR(K10/Assumptions!B11,0)</f>
        <v>0.0012425776994607</v>
      </c>
      <c r="L16" s="37" t="n">
        <f aca="false">IFERROR(L10/Assumptions!B11,0)</f>
        <v>0.00147646905698929</v>
      </c>
      <c r="M16" s="37" t="n">
        <f aca="false">IFERROR(M10/Assumptions!B11,0)</f>
        <v>0.00175438596491228</v>
      </c>
      <c r="O16" s="37" t="n">
        <f aca="false">IFERROR(O10/Assumptions!B11,0)</f>
        <v>0.0027076935375884</v>
      </c>
      <c r="P16" s="37" t="n">
        <f aca="false">IFERROR(P10/Assumptions!B11,0)</f>
        <v>0.00303928323439553</v>
      </c>
      <c r="Q16" s="37" t="n">
        <f aca="false">IFERROR(Q10/Assumptions!B11,0)</f>
        <v>0.00341148008467194</v>
      </c>
      <c r="R16" s="37" t="n">
        <f aca="false">IFERROR(R10/Assumptions!B11,0)</f>
        <v>0.0038292569236075</v>
      </c>
      <c r="S16" s="37" t="n">
        <f aca="false">IFERROR(S10/Assumptions!B11,0)</f>
        <v>0.00429819556997532</v>
      </c>
      <c r="T16" s="37" t="n">
        <f aca="false">IFERROR(T10/Assumptions!B11,0)</f>
        <v>0.00482456140350877</v>
      </c>
      <c r="U16" s="37" t="n">
        <f aca="false">IFERROR(U10/Assumptions!B11,0)</f>
        <v>0.0054153870751768</v>
      </c>
      <c r="V16" s="37" t="n">
        <f aca="false">IFERROR(V10/Assumptions!B11,0)</f>
        <v>0.00607856646879105</v>
      </c>
      <c r="W16" s="37" t="n">
        <f aca="false">IFERROR(W10/Assumptions!B11,0)</f>
        <v>0.00682296016934388</v>
      </c>
      <c r="X16" s="37" t="n">
        <f aca="false">IFERROR(X10/Assumptions!B11,0)</f>
        <v>0.007658513847215</v>
      </c>
      <c r="Y16" s="37" t="n">
        <f aca="false">IFERROR(Y10/Assumptions!B11,0)</f>
        <v>0.00859639113995064</v>
      </c>
      <c r="Z16" s="37" t="n">
        <f aca="false">IFERROR(Z10/Assumptions!B11,0)</f>
        <v>0.00964912280701754</v>
      </c>
      <c r="AB16" s="37" t="n">
        <f aca="false">IFERROR(AB10/Assumptions!B11,0)</f>
        <v>0.0130109502816054</v>
      </c>
      <c r="AC16" s="37" t="n">
        <f aca="false">IFERROR(AC10/Assumptions!B11,0)</f>
        <v>0.0137846216459046</v>
      </c>
      <c r="AD16" s="37" t="n">
        <f aca="false">IFERROR(AD10/Assumptions!B11,0)</f>
        <v>0.0146042979035422</v>
      </c>
      <c r="AE16" s="37" t="n">
        <f aca="false">IFERROR(AE10/Assumptions!B11,0)</f>
        <v>0.0154727146478318</v>
      </c>
      <c r="AF16" s="37" t="n">
        <f aca="false">IFERROR(AF10/Assumptions!B11,0)</f>
        <v>0.0163927701389303</v>
      </c>
      <c r="AG16" s="37" t="n">
        <f aca="false">IFERROR(AG10/Assumptions!B11,0)</f>
        <v>0.0173675349765117</v>
      </c>
      <c r="AH16" s="37" t="n">
        <f aca="false">IFERROR(AH10/Assumptions!B11,0)</f>
        <v>0.0184002623476084</v>
      </c>
      <c r="AI16" s="37" t="n">
        <f aca="false">IFERROR(AI10/Assumptions!B11,0)</f>
        <v>0.01949439888382</v>
      </c>
      <c r="AJ16" s="37" t="n">
        <f aca="false">IFERROR(AJ10/Assumptions!B11,0)</f>
        <v>0.0206535961641263</v>
      </c>
      <c r="AK16" s="37" t="n">
        <f aca="false">IFERROR(AK10/Assumptions!B11,0)</f>
        <v>0.0218817229016926</v>
      </c>
      <c r="AL16" s="37" t="n">
        <f aca="false">IFERROR(AL10/Assumptions!B11,0)</f>
        <v>0.0231776315789474</v>
      </c>
      <c r="AM16" s="37" t="n">
        <f aca="false">IFERROR(AM10/Assumptions!B11,0)</f>
        <v>0.0231776315789474</v>
      </c>
      <c r="AO16" s="13"/>
      <c r="AP16" s="13"/>
      <c r="AQ16" s="13"/>
    </row>
    <row r="17" customFormat="false" ht="15" hidden="false" customHeight="true" outlineLevel="0" collapsed="false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</row>
    <row r="18" customFormat="false" ht="15" hidden="false" customHeight="true" outlineLevel="0" collapsed="false">
      <c r="A18" s="12" t="s">
        <v>170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5"/>
    </row>
    <row r="19" customFormat="false" ht="15" hidden="false" customHeight="true" outlineLevel="0" collapsed="false">
      <c r="A19" s="13" t="s">
        <v>171</v>
      </c>
      <c r="B19" s="31" t="n">
        <f aca="false">IFERROR(ROUND(Assumptions!B33*Assumptions!B34*Assumptions!B32/B9*B15,0),0)</f>
        <v>158</v>
      </c>
      <c r="C19" s="31" t="n">
        <f aca="false">IFERROR(ROUND(Assumptions!B33*Assumptions!B34*Assumptions!B32/C9*C15,0),0)</f>
        <v>187</v>
      </c>
      <c r="D19" s="31" t="n">
        <f aca="false">IFERROR(ROUND(Assumptions!B33*Assumptions!B34*Assumptions!B32/D9*D15,0),0)</f>
        <v>222</v>
      </c>
      <c r="E19" s="31" t="n">
        <f aca="false">IFERROR(ROUND(Assumptions!B33*Assumptions!B34*Assumptions!B32/E9*E15,0),0)</f>
        <v>264</v>
      </c>
      <c r="F19" s="31" t="n">
        <f aca="false">IFERROR(ROUND(Assumptions!B33*Assumptions!B34*Assumptions!B32/F9*F15,0),0)</f>
        <v>314</v>
      </c>
      <c r="G19" s="31" t="n">
        <f aca="false">IFERROR(ROUND(Assumptions!B33*Assumptions!B34*Assumptions!B32/G9*G15,0),0)</f>
        <v>373</v>
      </c>
      <c r="H19" s="31" t="n">
        <f aca="false">IFERROR(ROUND(Assumptions!B33*Assumptions!B34*Assumptions!B32/H9*H15,0),0)</f>
        <v>443</v>
      </c>
      <c r="I19" s="31" t="n">
        <f aca="false">IFERROR(ROUND(Assumptions!B33*Assumptions!B34*Assumptions!B32/I9*I15,0),0)</f>
        <v>526</v>
      </c>
      <c r="J19" s="31" t="n">
        <f aca="false">IFERROR(ROUND(Assumptions!B33*Assumptions!B34*Assumptions!B32/J9*J15,0),0)</f>
        <v>625</v>
      </c>
      <c r="K19" s="31" t="n">
        <f aca="false">IFERROR(ROUND(Assumptions!B33*Assumptions!B34*Assumptions!B32/K9*K15,0),0)</f>
        <v>743</v>
      </c>
      <c r="L19" s="31" t="n">
        <f aca="false">IFERROR(ROUND(Assumptions!B33*Assumptions!B34*Assumptions!B32/L9*L15,0),0)</f>
        <v>883</v>
      </c>
      <c r="M19" s="31" t="n">
        <f aca="false">IFERROR(ROUND(Assumptions!B33*Assumptions!B34*Assumptions!B32/M9*M15,0),0)</f>
        <v>1049</v>
      </c>
      <c r="O19" s="31" t="n">
        <f aca="false">IFERROR(ROUND(Assumptions!C33*Assumptions!B34*Assumptions!B32/O9*O15,0),0)</f>
        <v>1619</v>
      </c>
      <c r="P19" s="31" t="n">
        <f aca="false">IFERROR(ROUND(Assumptions!C33*Assumptions!B34*Assumptions!B32/P9*P15,0),0)</f>
        <v>1817</v>
      </c>
      <c r="Q19" s="31" t="n">
        <f aca="false">IFERROR(ROUND(Assumptions!C33*Assumptions!B34*Assumptions!B32/Q9*Q15,0),0)</f>
        <v>2040</v>
      </c>
      <c r="R19" s="31" t="n">
        <f aca="false">IFERROR(ROUND(Assumptions!C33*Assumptions!B34*Assumptions!B32/R9*R15,0),0)</f>
        <v>2290</v>
      </c>
      <c r="S19" s="31" t="n">
        <f aca="false">IFERROR(ROUND(Assumptions!C33*Assumptions!B34*Assumptions!B32/S9*S15,0),0)</f>
        <v>2570</v>
      </c>
      <c r="T19" s="31" t="n">
        <f aca="false">IFERROR(ROUND(Assumptions!C33*Assumptions!B34*Assumptions!B32/T9*T15,0),0)</f>
        <v>2885</v>
      </c>
      <c r="U19" s="31" t="n">
        <f aca="false">IFERROR(ROUND(Assumptions!C33*Assumptions!B34*Assumptions!B32/U9*U15,0),0)</f>
        <v>3238</v>
      </c>
      <c r="V19" s="31" t="n">
        <f aca="false">IFERROR(ROUND(Assumptions!C33*Assumptions!B34*Assumptions!B32/V9*V15,0),0)</f>
        <v>3635</v>
      </c>
      <c r="W19" s="31" t="n">
        <f aca="false">IFERROR(ROUND(Assumptions!C33*Assumptions!B34*Assumptions!B32/W9*W15,0),0)</f>
        <v>4079</v>
      </c>
      <c r="X19" s="31" t="n">
        <f aca="false">IFERROR(ROUND(Assumptions!C33*Assumptions!B34*Assumptions!B32/X9*X15,0),0)</f>
        <v>4579</v>
      </c>
      <c r="Y19" s="31" t="n">
        <f aca="false">IFERROR(ROUND(Assumptions!C33*Assumptions!B34*Assumptions!B32/Y9*Y15,0),0)</f>
        <v>5140</v>
      </c>
      <c r="Z19" s="31" t="n">
        <f aca="false">IFERROR(ROUND(Assumptions!C33*Assumptions!B34*Assumptions!B32/Z9*Z15,0),0)</f>
        <v>5769</v>
      </c>
      <c r="AB19" s="31" t="n">
        <f aca="false">IFERROR(ROUND(Assumptions!D33*Assumptions!B34*Assumptions!B32/AB9*AB15,0),0)</f>
        <v>7463</v>
      </c>
      <c r="AC19" s="31" t="n">
        <f aca="false">IFERROR(ROUND(Assumptions!D33*Assumptions!B34*Assumptions!B32/AC9*AC15,0),0)</f>
        <v>7907</v>
      </c>
      <c r="AD19" s="31" t="n">
        <f aca="false">IFERROR(ROUND(Assumptions!D33*Assumptions!B34*Assumptions!B32/AD9*AD15,0),0)</f>
        <v>8377</v>
      </c>
      <c r="AE19" s="31" t="n">
        <f aca="false">IFERROR(ROUND(Assumptions!D33*Assumptions!B34*Assumptions!B32/AE9*AE15,0),0)</f>
        <v>8875</v>
      </c>
      <c r="AF19" s="31" t="n">
        <f aca="false">IFERROR(ROUND(Assumptions!D33*Assumptions!B34*Assumptions!B32/AF9*AF15,0),0)</f>
        <v>9404</v>
      </c>
      <c r="AG19" s="31" t="n">
        <f aca="false">IFERROR(ROUND(Assumptions!D33*Assumptions!B34*Assumptions!B32/AG9*AG15,0),0)</f>
        <v>9963</v>
      </c>
      <c r="AH19" s="31" t="n">
        <f aca="false">IFERROR(ROUND(Assumptions!D33*Assumptions!B34*Assumptions!B32/AH9*AH15,0),0)</f>
        <v>10555</v>
      </c>
      <c r="AI19" s="31" t="n">
        <f aca="false">IFERROR(ROUND(Assumptions!D33*Assumptions!B34*Assumptions!B32/AI9*AI15,0),0)</f>
        <v>11182</v>
      </c>
      <c r="AJ19" s="31" t="n">
        <f aca="false">IFERROR(ROUND(Assumptions!D33*Assumptions!B34*Assumptions!B32/AJ9*AJ15,0),0)</f>
        <v>11848</v>
      </c>
      <c r="AK19" s="31" t="n">
        <f aca="false">IFERROR(ROUND(Assumptions!D33*Assumptions!B34*Assumptions!B32/AK9*AK15,0),0)</f>
        <v>12552</v>
      </c>
      <c r="AL19" s="31" t="n">
        <f aca="false">IFERROR(ROUND(Assumptions!D33*Assumptions!B34*Assumptions!B32/AL9*AL15,0),0)</f>
        <v>13295</v>
      </c>
      <c r="AM19" s="31" t="n">
        <f aca="false">IFERROR(ROUND(Assumptions!D33*Assumptions!B34*Assumptions!B32/AM9*AM15,0),0)</f>
        <v>13295</v>
      </c>
      <c r="AO19" s="36" t="n">
        <f aca="false">SUM(B19:M19)</f>
        <v>5787</v>
      </c>
      <c r="AP19" s="36" t="n">
        <f aca="false">SUM(O19:Z19)</f>
        <v>39661</v>
      </c>
      <c r="AQ19" s="36" t="n">
        <f aca="false">SUM(AB19:AM19)</f>
        <v>124716</v>
      </c>
    </row>
    <row r="20" customFormat="false" ht="15" hidden="false" customHeight="true" outlineLevel="0" collapsed="false">
      <c r="A20" s="13" t="s">
        <v>172</v>
      </c>
      <c r="B20" s="31" t="n">
        <f aca="false">B15-B19</f>
        <v>115</v>
      </c>
      <c r="C20" s="31" t="n">
        <f aca="false">C15-C19</f>
        <v>137</v>
      </c>
      <c r="D20" s="31" t="n">
        <f aca="false">D15-D19</f>
        <v>163</v>
      </c>
      <c r="E20" s="31" t="n">
        <f aca="false">E15-E19</f>
        <v>194</v>
      </c>
      <c r="F20" s="31" t="n">
        <f aca="false">F15-F19</f>
        <v>230</v>
      </c>
      <c r="G20" s="31" t="n">
        <f aca="false">G15-G19</f>
        <v>273</v>
      </c>
      <c r="H20" s="31" t="n">
        <f aca="false">H15-H19</f>
        <v>325</v>
      </c>
      <c r="I20" s="31" t="n">
        <f aca="false">I15-I19</f>
        <v>386</v>
      </c>
      <c r="J20" s="31" t="n">
        <f aca="false">J15-J19</f>
        <v>459</v>
      </c>
      <c r="K20" s="31" t="n">
        <f aca="false">K15-K19</f>
        <v>545</v>
      </c>
      <c r="L20" s="31" t="n">
        <f aca="false">L15-L19</f>
        <v>647</v>
      </c>
      <c r="M20" s="31" t="n">
        <f aca="false">M15-M19</f>
        <v>769</v>
      </c>
      <c r="O20" s="31" t="n">
        <f aca="false">O15-O19</f>
        <v>1187</v>
      </c>
      <c r="P20" s="31" t="n">
        <f aca="false">P15-P19</f>
        <v>1333</v>
      </c>
      <c r="Q20" s="31" t="n">
        <f aca="false">Q15-Q19</f>
        <v>1496</v>
      </c>
      <c r="R20" s="31" t="n">
        <f aca="false">R15-R19</f>
        <v>1679</v>
      </c>
      <c r="S20" s="31" t="n">
        <f aca="false">S15-S19</f>
        <v>1884</v>
      </c>
      <c r="T20" s="31" t="n">
        <f aca="false">T15-T19</f>
        <v>2115</v>
      </c>
      <c r="U20" s="31" t="n">
        <f aca="false">U15-U19</f>
        <v>2374</v>
      </c>
      <c r="V20" s="31" t="n">
        <f aca="false">V15-V19</f>
        <v>2665</v>
      </c>
      <c r="W20" s="31" t="n">
        <f aca="false">W15-W19</f>
        <v>2992</v>
      </c>
      <c r="X20" s="31" t="n">
        <f aca="false">X15-X19</f>
        <v>3358</v>
      </c>
      <c r="Y20" s="31" t="n">
        <f aca="false">Y15-Y19</f>
        <v>3769</v>
      </c>
      <c r="Z20" s="31" t="n">
        <f aca="false">Z15-Z19</f>
        <v>4231</v>
      </c>
      <c r="AB20" s="31" t="n">
        <f aca="false">AB15-AB19</f>
        <v>6021</v>
      </c>
      <c r="AC20" s="31" t="n">
        <f aca="false">AC15-AC19</f>
        <v>6379</v>
      </c>
      <c r="AD20" s="31" t="n">
        <f aca="false">AD15-AD19</f>
        <v>6758</v>
      </c>
      <c r="AE20" s="31" t="n">
        <f aca="false">AE15-AE19</f>
        <v>7160</v>
      </c>
      <c r="AF20" s="31" t="n">
        <f aca="false">AF15-AF19</f>
        <v>7585</v>
      </c>
      <c r="AG20" s="31" t="n">
        <f aca="false">AG15-AG19</f>
        <v>8036</v>
      </c>
      <c r="AH20" s="31" t="n">
        <f aca="false">AH15-AH19</f>
        <v>8514</v>
      </c>
      <c r="AI20" s="31" t="n">
        <f aca="false">AI15-AI19</f>
        <v>9021</v>
      </c>
      <c r="AJ20" s="31" t="n">
        <f aca="false">AJ15-AJ19</f>
        <v>9557</v>
      </c>
      <c r="AK20" s="31" t="n">
        <f aca="false">AK15-AK19</f>
        <v>10125</v>
      </c>
      <c r="AL20" s="31" t="n">
        <f aca="false">AL15-AL19</f>
        <v>10725</v>
      </c>
      <c r="AM20" s="31" t="n">
        <f aca="false">AM15-AM19</f>
        <v>10725</v>
      </c>
      <c r="AO20" s="36" t="n">
        <f aca="false">SUM(B20:M20)</f>
        <v>4243</v>
      </c>
      <c r="AP20" s="36" t="n">
        <f aca="false">SUM(O20:Z20)</f>
        <v>29083</v>
      </c>
      <c r="AQ20" s="36" t="n">
        <f aca="false">SUM(AB20:AM20)</f>
        <v>100606</v>
      </c>
    </row>
    <row r="21" customFormat="false" ht="15" hidden="false" customHeight="true" outlineLevel="0" collapsed="false">
      <c r="B21" s="11" t="s">
        <v>173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5"/>
    </row>
  </sheetData>
  <mergeCells count="7">
    <mergeCell ref="A1:AQ1"/>
    <mergeCell ref="A2:AQ2"/>
    <mergeCell ref="B3:M3"/>
    <mergeCell ref="O3:Z3"/>
    <mergeCell ref="AB3:AM3"/>
    <mergeCell ref="A5:AQ5"/>
    <mergeCell ref="A17:AQ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AD19" activePane="bottomRight" state="frozen"/>
      <selection pane="topLeft" activeCell="A1" activeCellId="0" sqref="A1"/>
      <selection pane="topRight" activeCell="AD1" activeCellId="0" sqref="AD1"/>
      <selection pane="bottomLeft" activeCell="A19" activeCellId="0" sqref="A19"/>
      <selection pane="bottomRight" activeCell="AH31" activeCellId="0" sqref="AH3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0"/>
    <col collapsed="false" customWidth="true" hidden="false" outlineLevel="0" max="40" min="2" style="0" width="10"/>
    <col collapsed="false" customWidth="true" hidden="false" outlineLevel="0" max="43" min="41" style="0" width="13"/>
  </cols>
  <sheetData>
    <row r="1" customFormat="false" ht="24" hidden="false" customHeight="true" outlineLevel="0" collapsed="false">
      <c r="A1" s="26" t="s">
        <v>174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</row>
    <row r="2" customFormat="false" ht="18" hidden="false" customHeight="true" outlineLevel="0" collapsed="false">
      <c r="A2" s="11" t="s">
        <v>175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 customFormat="false" ht="19.5" hidden="false" customHeight="true" outlineLevel="0" collapsed="false">
      <c r="B3" s="27" t="s">
        <v>116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O3" s="27" t="s">
        <v>117</v>
      </c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B3" s="27" t="s">
        <v>118</v>
      </c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O3" s="28" t="s">
        <v>119</v>
      </c>
      <c r="AP3" s="28" t="s">
        <v>120</v>
      </c>
      <c r="AQ3" s="28" t="s">
        <v>121</v>
      </c>
    </row>
    <row r="4" customFormat="false" ht="18" hidden="false" customHeight="true" outlineLevel="0" collapsed="false">
      <c r="B4" s="29" t="s">
        <v>122</v>
      </c>
      <c r="C4" s="29" t="s">
        <v>123</v>
      </c>
      <c r="D4" s="29" t="s">
        <v>124</v>
      </c>
      <c r="E4" s="29" t="s">
        <v>125</v>
      </c>
      <c r="F4" s="29" t="s">
        <v>126</v>
      </c>
      <c r="G4" s="29" t="s">
        <v>127</v>
      </c>
      <c r="H4" s="29" t="s">
        <v>128</v>
      </c>
      <c r="I4" s="29" t="s">
        <v>129</v>
      </c>
      <c r="J4" s="29" t="s">
        <v>130</v>
      </c>
      <c r="K4" s="29" t="s">
        <v>131</v>
      </c>
      <c r="L4" s="29" t="s">
        <v>132</v>
      </c>
      <c r="M4" s="29" t="s">
        <v>133</v>
      </c>
      <c r="N4" s="29"/>
      <c r="O4" s="29" t="s">
        <v>134</v>
      </c>
      <c r="P4" s="29" t="s">
        <v>135</v>
      </c>
      <c r="Q4" s="29" t="s">
        <v>136</v>
      </c>
      <c r="R4" s="29" t="s">
        <v>137</v>
      </c>
      <c r="S4" s="29" t="s">
        <v>138</v>
      </c>
      <c r="T4" s="29" t="s">
        <v>139</v>
      </c>
      <c r="U4" s="29" t="s">
        <v>140</v>
      </c>
      <c r="V4" s="29" t="s">
        <v>141</v>
      </c>
      <c r="W4" s="29" t="s">
        <v>142</v>
      </c>
      <c r="X4" s="29" t="s">
        <v>143</v>
      </c>
      <c r="Y4" s="29" t="s">
        <v>144</v>
      </c>
      <c r="Z4" s="29" t="s">
        <v>145</v>
      </c>
      <c r="AA4" s="29"/>
      <c r="AB4" s="29" t="s">
        <v>146</v>
      </c>
      <c r="AC4" s="29" t="s">
        <v>147</v>
      </c>
      <c r="AD4" s="29" t="s">
        <v>148</v>
      </c>
      <c r="AE4" s="29" t="s">
        <v>149</v>
      </c>
      <c r="AF4" s="29" t="s">
        <v>150</v>
      </c>
      <c r="AG4" s="29" t="s">
        <v>151</v>
      </c>
      <c r="AH4" s="29" t="s">
        <v>152</v>
      </c>
      <c r="AI4" s="29" t="s">
        <v>153</v>
      </c>
      <c r="AJ4" s="29" t="s">
        <v>154</v>
      </c>
      <c r="AK4" s="29" t="s">
        <v>155</v>
      </c>
      <c r="AL4" s="29" t="s">
        <v>156</v>
      </c>
      <c r="AM4" s="29" t="s">
        <v>157</v>
      </c>
    </row>
    <row r="5" customFormat="false" ht="15" hidden="false" customHeight="true" outlineLevel="0" collapsed="false">
      <c r="A5" s="12" t="s">
        <v>176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</row>
    <row r="6" customFormat="false" ht="15" hidden="false" customHeight="true" outlineLevel="0" collapsed="false">
      <c r="A6" s="13" t="s">
        <v>177</v>
      </c>
      <c r="B6" s="30" t="n">
        <f aca="false">'Volume &amp; Funnel'!B11*Assumptions!B20</f>
        <v>3114</v>
      </c>
      <c r="C6" s="30" t="n">
        <f aca="false">'Volume &amp; Funnel'!C11*Assumptions!B20</f>
        <v>3690</v>
      </c>
      <c r="D6" s="30" t="n">
        <f aca="false">'Volume &amp; Funnel'!D11*Assumptions!B20</f>
        <v>4392</v>
      </c>
      <c r="E6" s="30" t="n">
        <f aca="false">'Volume &amp; Funnel'!E11*Assumptions!B20</f>
        <v>5220</v>
      </c>
      <c r="F6" s="30" t="n">
        <f aca="false">'Volume &amp; Funnel'!F11*Assumptions!B20</f>
        <v>6192</v>
      </c>
      <c r="G6" s="30" t="n">
        <f aca="false">'Volume &amp; Funnel'!G11*Assumptions!B20</f>
        <v>7362</v>
      </c>
      <c r="H6" s="30" t="n">
        <f aca="false">'Volume &amp; Funnel'!H11*Assumptions!B20</f>
        <v>8748</v>
      </c>
      <c r="I6" s="30" t="n">
        <f aca="false">'Volume &amp; Funnel'!I11*Assumptions!B20</f>
        <v>10404</v>
      </c>
      <c r="J6" s="30" t="n">
        <f aca="false">'Volume &amp; Funnel'!J11*Assumptions!B20</f>
        <v>12366</v>
      </c>
      <c r="K6" s="30" t="n">
        <f aca="false">'Volume &amp; Funnel'!K11*Assumptions!B20</f>
        <v>14688</v>
      </c>
      <c r="L6" s="30" t="n">
        <f aca="false">'Volume &amp; Funnel'!L11*Assumptions!B20</f>
        <v>17460</v>
      </c>
      <c r="M6" s="30" t="n">
        <f aca="false">'Volume &amp; Funnel'!M11*Assumptions!B20</f>
        <v>20736</v>
      </c>
      <c r="O6" s="30" t="n">
        <f aca="false">'Volume &amp; Funnel'!O11*Assumptions!B20</f>
        <v>32004</v>
      </c>
      <c r="P6" s="30" t="n">
        <f aca="false">'Volume &amp; Funnel'!P11*Assumptions!B20</f>
        <v>35928</v>
      </c>
      <c r="Q6" s="30" t="n">
        <f aca="false">'Volume &amp; Funnel'!Q11*Assumptions!B20</f>
        <v>40320</v>
      </c>
      <c r="R6" s="30" t="n">
        <f aca="false">'Volume &amp; Funnel'!R11*Assumptions!B20</f>
        <v>45252</v>
      </c>
      <c r="S6" s="30" t="n">
        <f aca="false">'Volume &amp; Funnel'!S11*Assumptions!B20</f>
        <v>50796</v>
      </c>
      <c r="T6" s="30" t="n">
        <f aca="false">'Volume &amp; Funnel'!T11*Assumptions!B20</f>
        <v>57024</v>
      </c>
      <c r="U6" s="30" t="n">
        <f aca="false">'Volume &amp; Funnel'!U11*Assumptions!B20</f>
        <v>64008</v>
      </c>
      <c r="V6" s="30" t="n">
        <f aca="false">'Volume &amp; Funnel'!V11*Assumptions!B20</f>
        <v>71838</v>
      </c>
      <c r="W6" s="30" t="n">
        <f aca="false">'Volume &amp; Funnel'!W11*Assumptions!B20</f>
        <v>80640</v>
      </c>
      <c r="X6" s="30" t="n">
        <f aca="false">'Volume &amp; Funnel'!X11*Assumptions!B20</f>
        <v>90522</v>
      </c>
      <c r="Y6" s="30" t="n">
        <f aca="false">'Volume &amp; Funnel'!Y11*Assumptions!B20</f>
        <v>101610</v>
      </c>
      <c r="Z6" s="30" t="n">
        <f aca="false">'Volume &amp; Funnel'!Z11*Assumptions!B20</f>
        <v>114048</v>
      </c>
      <c r="AB6" s="30" t="n">
        <f aca="false">'Volume &amp; Funnel'!AB11*Assumptions!B20</f>
        <v>153792</v>
      </c>
      <c r="AC6" s="30" t="n">
        <f aca="false">'Volume &amp; Funnel'!AC11*Assumptions!B20</f>
        <v>162936</v>
      </c>
      <c r="AD6" s="30" t="n">
        <f aca="false">'Volume &amp; Funnel'!AD11*Assumptions!B20</f>
        <v>172620</v>
      </c>
      <c r="AE6" s="30" t="n">
        <f aca="false">'Volume &amp; Funnel'!AE11*Assumptions!B20</f>
        <v>182880</v>
      </c>
      <c r="AF6" s="30" t="n">
        <f aca="false">'Volume &amp; Funnel'!AF11*Assumptions!B20</f>
        <v>193752</v>
      </c>
      <c r="AG6" s="30" t="n">
        <f aca="false">'Volume &amp; Funnel'!AG11*Assumptions!B20</f>
        <v>205272</v>
      </c>
      <c r="AH6" s="30" t="n">
        <f aca="false">'Volume &amp; Funnel'!AH11*Assumptions!B20</f>
        <v>217476</v>
      </c>
      <c r="AI6" s="30" t="n">
        <f aca="false">'Volume &amp; Funnel'!AI11*Assumptions!B20</f>
        <v>230418</v>
      </c>
      <c r="AJ6" s="30" t="n">
        <f aca="false">'Volume &amp; Funnel'!AJ11*Assumptions!B20</f>
        <v>244116</v>
      </c>
      <c r="AK6" s="30" t="n">
        <f aca="false">'Volume &amp; Funnel'!AK11*Assumptions!B20</f>
        <v>258624</v>
      </c>
      <c r="AL6" s="30" t="n">
        <f aca="false">'Volume &amp; Funnel'!AL11*Assumptions!B20</f>
        <v>273942</v>
      </c>
      <c r="AM6" s="30" t="n">
        <f aca="false">'Volume &amp; Funnel'!AM11*Assumptions!B20</f>
        <v>273942</v>
      </c>
      <c r="AO6" s="17" t="n">
        <f aca="false">SUM(B6:M6)</f>
        <v>114372</v>
      </c>
      <c r="AP6" s="17" t="n">
        <f aca="false">SUM(O6:Z6)</f>
        <v>783990</v>
      </c>
      <c r="AQ6" s="17" t="n">
        <f aca="false">SUM(AB6:AM6)</f>
        <v>2569770</v>
      </c>
    </row>
    <row r="7" customFormat="false" ht="15" hidden="false" customHeight="true" outlineLevel="0" collapsed="false">
      <c r="A7" s="13" t="s">
        <v>178</v>
      </c>
      <c r="B7" s="30" t="n">
        <f aca="false">'Volume &amp; Funnel'!B12*Assumptions!B21</f>
        <v>1474</v>
      </c>
      <c r="C7" s="30" t="n">
        <f aca="false">'Volume &amp; Funnel'!C12*Assumptions!B21</f>
        <v>1763.85846719037</v>
      </c>
      <c r="D7" s="30" t="n">
        <f aca="false">'Volume &amp; Funnel'!D12*Assumptions!B21</f>
        <v>2086.79167923036</v>
      </c>
      <c r="E7" s="30" t="n">
        <f aca="false">'Volume &amp; Funnel'!E12*Assumptions!B21</f>
        <v>2478.01285944692</v>
      </c>
      <c r="F7" s="30" t="n">
        <f aca="false">'Volume &amp; Funnel'!F12*Assumptions!B21</f>
        <v>2957.3634433186</v>
      </c>
      <c r="G7" s="30" t="n">
        <f aca="false">'Volume &amp; Funnel'!G12*Assumptions!B21</f>
        <v>3508.56071195462</v>
      </c>
      <c r="H7" s="30" t="n">
        <f aca="false">'Volume &amp; Funnel'!H12*Assumptions!B21</f>
        <v>4168.68026858464</v>
      </c>
      <c r="I7" s="30" t="n">
        <f aca="false">'Volume &amp; Funnel'!I12*Assumptions!B21</f>
        <v>4941.91756274027</v>
      </c>
      <c r="J7" s="30" t="n">
        <f aca="false">'Volume &amp; Funnel'!J12*Assumptions!B21</f>
        <v>5867.68098749007</v>
      </c>
      <c r="K7" s="30" t="n">
        <f aca="false">'Volume &amp; Funnel'!K12*Assumptions!B21</f>
        <v>6979.07896197951</v>
      </c>
      <c r="L7" s="30" t="n">
        <f aca="false">'Volume &amp; Funnel'!L12*Assumptions!B21</f>
        <v>8283.87515943312</v>
      </c>
      <c r="M7" s="30" t="n">
        <f aca="false">'Volume &amp; Funnel'!M12*Assumptions!B21</f>
        <v>9855.99999999999</v>
      </c>
      <c r="O7" s="30" t="n">
        <f aca="false">'Volume &amp; Funnel'!O12*Assumptions!B21</f>
        <v>15211.1631381736</v>
      </c>
      <c r="P7" s="30" t="n">
        <f aca="false">'Volume &amp; Funnel'!P12*Assumptions!B21</f>
        <v>17068.1788149119</v>
      </c>
      <c r="Q7" s="30" t="n">
        <f aca="false">'Volume &amp; Funnel'!Q12*Assumptions!B21</f>
        <v>19167.9364188578</v>
      </c>
      <c r="R7" s="30" t="n">
        <f aca="false">'Volume &amp; Funnel'!R12*Assumptions!B21</f>
        <v>21522.2109152608</v>
      </c>
      <c r="S7" s="30" t="n">
        <f aca="false">'Volume &amp; Funnel'!S12*Assumptions!B21</f>
        <v>24154.9959159848</v>
      </c>
      <c r="T7" s="30" t="n">
        <f aca="false">'Volume &amp; Funnel'!T12*Assumptions!B21</f>
        <v>27104</v>
      </c>
      <c r="U7" s="30" t="n">
        <f aca="false">'Volume &amp; Funnel'!U12*Assumptions!B21</f>
        <v>30422.3262763473</v>
      </c>
      <c r="V7" s="30" t="n">
        <f aca="false">'Volume &amp; Funnel'!V12*Assumptions!B21</f>
        <v>34158.3576298237</v>
      </c>
      <c r="W7" s="30" t="n">
        <f aca="false">'Volume &amp; Funnel'!W12*Assumptions!B21</f>
        <v>38335.8728377156</v>
      </c>
      <c r="X7" s="30" t="n">
        <f aca="false">'Volume &amp; Funnel'!X12*Assumptions!B21</f>
        <v>43022.4218305217</v>
      </c>
      <c r="Y7" s="30" t="n">
        <f aca="false">'Volume &amp; Funnel'!Y12*Assumptions!B21</f>
        <v>48287.9918319697</v>
      </c>
      <c r="Z7" s="30" t="n">
        <f aca="false">'Volume &amp; Funnel'!Z12*Assumptions!B21</f>
        <v>54208</v>
      </c>
      <c r="AB7" s="30" t="n">
        <f aca="false">'Volume &amp; Funnel'!AB12*Assumptions!B21</f>
        <v>73083.7064501304</v>
      </c>
      <c r="AC7" s="30" t="n">
        <f aca="false">'Volume &amp; Funnel'!AC12*Assumptions!B21</f>
        <v>77430.6487034296</v>
      </c>
      <c r="AD7" s="30" t="n">
        <f aca="false">'Volume &amp; Funnel'!AD12*Assumptions!B21</f>
        <v>82040.6331366706</v>
      </c>
      <c r="AE7" s="30" t="n">
        <f aca="false">'Volume &amp; Funnel'!AE12*Assumptions!B21</f>
        <v>86924.5466940968</v>
      </c>
      <c r="AF7" s="30" t="n">
        <f aca="false">'Volume &amp; Funnel'!AF12*Assumptions!B21</f>
        <v>92096.5400674966</v>
      </c>
      <c r="AG7" s="30" t="n">
        <f aca="false">'Volume &amp; Funnel'!AG12*Assumptions!B21</f>
        <v>97574.2217687308</v>
      </c>
      <c r="AH7" s="30" t="n">
        <f aca="false">'Volume &amp; Funnel'!AH12*Assumptions!B21</f>
        <v>103378.863742415</v>
      </c>
      <c r="AI7" s="30" t="n">
        <f aca="false">'Volume &amp; Funnel'!AI12*Assumptions!B21</f>
        <v>109513.619204965</v>
      </c>
      <c r="AJ7" s="30" t="n">
        <f aca="false">'Volume &amp; Funnel'!AJ12*Assumptions!B21</f>
        <v>116029.753437031</v>
      </c>
      <c r="AK7" s="30" t="n">
        <f aca="false">'Volume &amp; Funnel'!AK12*Assumptions!B21</f>
        <v>122938.88829956</v>
      </c>
      <c r="AL7" s="30" t="n">
        <f aca="false">'Volume &amp; Funnel'!AL12*Assumptions!B21</f>
        <v>130218</v>
      </c>
      <c r="AM7" s="30" t="n">
        <f aca="false">'Volume &amp; Funnel'!AM12*Assumptions!B21</f>
        <v>130218</v>
      </c>
      <c r="AO7" s="17" t="n">
        <f aca="false">SUM(B7:M7)</f>
        <v>54365.8201013685</v>
      </c>
      <c r="AP7" s="17" t="n">
        <f aca="false">SUM(O7:Z7)</f>
        <v>372663.455609567</v>
      </c>
      <c r="AQ7" s="17" t="n">
        <f aca="false">SUM(AB7:AM7)</f>
        <v>1221447.42150452</v>
      </c>
    </row>
    <row r="8" customFormat="false" ht="15" hidden="false" customHeight="true" outlineLevel="0" collapsed="false">
      <c r="A8" s="13" t="s">
        <v>179</v>
      </c>
      <c r="B8" s="30" t="n">
        <f aca="false">'Volume &amp; Funnel'!B13*Assumptions!B26*Assumptions!B24</f>
        <v>226.8</v>
      </c>
      <c r="C8" s="30" t="n">
        <f aca="false">'Volume &amp; Funnel'!C13*Assumptions!B26*Assumptions!B24</f>
        <v>270</v>
      </c>
      <c r="D8" s="30" t="n">
        <f aca="false">'Volume &amp; Funnel'!D13*Assumptions!B26*Assumptions!B24</f>
        <v>321.3</v>
      </c>
      <c r="E8" s="30" t="n">
        <f aca="false">'Volume &amp; Funnel'!E13*Assumptions!B26*Assumptions!B24</f>
        <v>380.7</v>
      </c>
      <c r="F8" s="30" t="n">
        <f aca="false">'Volume &amp; Funnel'!F13*Assumptions!B26*Assumptions!B24</f>
        <v>450.9</v>
      </c>
      <c r="G8" s="30" t="n">
        <f aca="false">'Volume &amp; Funnel'!G13*Assumptions!B26*Assumptions!B24</f>
        <v>537.3</v>
      </c>
      <c r="H8" s="30" t="n">
        <f aca="false">'Volume &amp; Funnel'!H13*Assumptions!B26*Assumptions!B24</f>
        <v>637.2</v>
      </c>
      <c r="I8" s="30" t="n">
        <f aca="false">'Volume &amp; Funnel'!I13*Assumptions!B26*Assumptions!B24</f>
        <v>758.7</v>
      </c>
      <c r="J8" s="30" t="n">
        <f aca="false">'Volume &amp; Funnel'!J13*Assumptions!B26*Assumptions!B24</f>
        <v>901.8</v>
      </c>
      <c r="K8" s="30" t="n">
        <f aca="false">'Volume &amp; Funnel'!K13*Assumptions!B26*Assumptions!B24</f>
        <v>1071.9</v>
      </c>
      <c r="L8" s="30" t="n">
        <f aca="false">'Volume &amp; Funnel'!L13*Assumptions!B26*Assumptions!B24</f>
        <v>1271.7</v>
      </c>
      <c r="M8" s="30" t="n">
        <f aca="false">'Volume &amp; Funnel'!M13*Assumptions!B26*Assumptions!B24</f>
        <v>1512</v>
      </c>
      <c r="O8" s="30" t="n">
        <f aca="false">'Volume &amp; Funnel'!O13*Assumptions!B26*Assumptions!B24</f>
        <v>1865.7</v>
      </c>
      <c r="P8" s="30" t="n">
        <f aca="false">'Volume &amp; Funnel'!P13*Assumptions!B26*Assumptions!B24</f>
        <v>2095.2</v>
      </c>
      <c r="Q8" s="30" t="n">
        <f aca="false">'Volume &amp; Funnel'!Q13*Assumptions!B26*Assumptions!B24</f>
        <v>2351.7</v>
      </c>
      <c r="R8" s="30" t="n">
        <f aca="false">'Volume &amp; Funnel'!R13*Assumptions!B26*Assumptions!B24</f>
        <v>2640.6</v>
      </c>
      <c r="S8" s="30" t="n">
        <f aca="false">'Volume &amp; Funnel'!S13*Assumptions!B26*Assumptions!B24</f>
        <v>2964.6</v>
      </c>
      <c r="T8" s="30" t="n">
        <f aca="false">'Volume &amp; Funnel'!T13*Assumptions!B26*Assumptions!B24</f>
        <v>3326.4</v>
      </c>
      <c r="U8" s="30" t="n">
        <f aca="false">'Volume &amp; Funnel'!U13*Assumptions!B26*Assumptions!B24</f>
        <v>3734.1</v>
      </c>
      <c r="V8" s="30" t="n">
        <f aca="false">'Volume &amp; Funnel'!V13*Assumptions!B26*Assumptions!B24</f>
        <v>4190.4</v>
      </c>
      <c r="W8" s="30" t="n">
        <f aca="false">'Volume &amp; Funnel'!W13*Assumptions!B26*Assumptions!B24</f>
        <v>4703.4</v>
      </c>
      <c r="X8" s="30" t="n">
        <f aca="false">'Volume &amp; Funnel'!X13*Assumptions!B26*Assumptions!B24</f>
        <v>5281.2</v>
      </c>
      <c r="Y8" s="30" t="n">
        <f aca="false">'Volume &amp; Funnel'!Y13*Assumptions!B26*Assumptions!B24</f>
        <v>5926.5</v>
      </c>
      <c r="Z8" s="30" t="n">
        <f aca="false">'Volume &amp; Funnel'!Z13*Assumptions!B26*Assumptions!B24</f>
        <v>6652.8</v>
      </c>
      <c r="AB8" s="30" t="n">
        <f aca="false">'Volume &amp; Funnel'!AB13*Assumptions!B26*Assumptions!B24</f>
        <v>7049.7</v>
      </c>
      <c r="AC8" s="30" t="n">
        <f aca="false">'Volume &amp; Funnel'!AC13*Assumptions!B26*Assumptions!B24</f>
        <v>7468.2</v>
      </c>
      <c r="AD8" s="30" t="n">
        <f aca="false">'Volume &amp; Funnel'!AD13*Assumptions!B26*Assumptions!B24</f>
        <v>7911</v>
      </c>
      <c r="AE8" s="30" t="n">
        <f aca="false">'Volume &amp; Funnel'!AE13*Assumptions!B26*Assumptions!B24</f>
        <v>8380.8</v>
      </c>
      <c r="AF8" s="30" t="n">
        <f aca="false">'Volume &amp; Funnel'!AF13*Assumptions!B26*Assumptions!B24</f>
        <v>8880.3</v>
      </c>
      <c r="AG8" s="30" t="n">
        <f aca="false">'Volume &amp; Funnel'!AG13*Assumptions!B26*Assumptions!B24</f>
        <v>9409.5</v>
      </c>
      <c r="AH8" s="30" t="n">
        <f aca="false">'Volume &amp; Funnel'!AH13*Assumptions!B26*Assumptions!B24</f>
        <v>9968.4</v>
      </c>
      <c r="AI8" s="30" t="n">
        <f aca="false">'Volume &amp; Funnel'!AI13*Assumptions!B26*Assumptions!B24</f>
        <v>10559.7</v>
      </c>
      <c r="AJ8" s="30" t="n">
        <f aca="false">'Volume &amp; Funnel'!AJ13*Assumptions!B26*Assumptions!B24</f>
        <v>11188.8</v>
      </c>
      <c r="AK8" s="30" t="n">
        <f aca="false">'Volume &amp; Funnel'!AK13*Assumptions!B26*Assumptions!B24</f>
        <v>11853</v>
      </c>
      <c r="AL8" s="30" t="n">
        <f aca="false">'Volume &amp; Funnel'!AL13*Assumptions!B26*Assumptions!B24</f>
        <v>12555</v>
      </c>
      <c r="AM8" s="30" t="n">
        <f aca="false">'Volume &amp; Funnel'!AM13*Assumptions!B26*Assumptions!B24</f>
        <v>12555</v>
      </c>
      <c r="AO8" s="17" t="n">
        <f aca="false">SUM(B8:M8)</f>
        <v>8340.3</v>
      </c>
      <c r="AP8" s="17" t="n">
        <f aca="false">SUM(O8:Z8)</f>
        <v>45732.6</v>
      </c>
      <c r="AQ8" s="17" t="n">
        <f aca="false">SUM(AB8:AM8)</f>
        <v>117779.4</v>
      </c>
    </row>
    <row r="9" customFormat="false" ht="15" hidden="false" customHeight="true" outlineLevel="0" collapsed="false">
      <c r="A9" s="13" t="s">
        <v>180</v>
      </c>
      <c r="B9" s="30" t="n">
        <f aca="false">'Volume &amp; Funnel'!B14*Assumptions!B27</f>
        <v>112</v>
      </c>
      <c r="C9" s="30" t="n">
        <f aca="false">'Volume &amp; Funnel'!C14*Assumptions!B27</f>
        <v>136</v>
      </c>
      <c r="D9" s="30" t="n">
        <f aca="false">'Volume &amp; Funnel'!D14*Assumptions!B27</f>
        <v>160</v>
      </c>
      <c r="E9" s="30" t="n">
        <f aca="false">'Volume &amp; Funnel'!E14*Assumptions!B27</f>
        <v>192</v>
      </c>
      <c r="F9" s="30" t="n">
        <f aca="false">'Volume &amp; Funnel'!F14*Assumptions!B27</f>
        <v>232</v>
      </c>
      <c r="G9" s="30" t="n">
        <f aca="false">'Volume &amp; Funnel'!G14*Assumptions!B27</f>
        <v>272</v>
      </c>
      <c r="H9" s="30" t="n">
        <f aca="false">'Volume &amp; Funnel'!H14*Assumptions!B27</f>
        <v>328</v>
      </c>
      <c r="I9" s="30" t="n">
        <f aca="false">'Volume &amp; Funnel'!I14*Assumptions!B27</f>
        <v>384</v>
      </c>
      <c r="J9" s="30" t="n">
        <f aca="false">'Volume &amp; Funnel'!J14*Assumptions!B27</f>
        <v>456</v>
      </c>
      <c r="K9" s="30" t="n">
        <f aca="false">'Volume &amp; Funnel'!K14*Assumptions!B27</f>
        <v>544</v>
      </c>
      <c r="L9" s="30" t="n">
        <f aca="false">'Volume &amp; Funnel'!L14*Assumptions!B27</f>
        <v>648</v>
      </c>
      <c r="M9" s="30" t="n">
        <f aca="false">'Volume &amp; Funnel'!M14*Assumptions!B27</f>
        <v>768</v>
      </c>
      <c r="O9" s="30" t="n">
        <f aca="false">'Volume &amp; Funnel'!O14*Assumptions!B27</f>
        <v>1184</v>
      </c>
      <c r="P9" s="30" t="n">
        <f aca="false">'Volume &amp; Funnel'!P14*Assumptions!B27</f>
        <v>1328</v>
      </c>
      <c r="Q9" s="30" t="n">
        <f aca="false">'Volume &amp; Funnel'!Q14*Assumptions!B27</f>
        <v>1496</v>
      </c>
      <c r="R9" s="30" t="n">
        <f aca="false">'Volume &amp; Funnel'!R14*Assumptions!B27</f>
        <v>1680</v>
      </c>
      <c r="S9" s="30" t="n">
        <f aca="false">'Volume &amp; Funnel'!S14*Assumptions!B27</f>
        <v>1880</v>
      </c>
      <c r="T9" s="30" t="n">
        <f aca="false">'Volume &amp; Funnel'!T14*Assumptions!B27</f>
        <v>2112</v>
      </c>
      <c r="U9" s="30" t="n">
        <f aca="false">'Volume &amp; Funnel'!U14*Assumptions!B27</f>
        <v>2368</v>
      </c>
      <c r="V9" s="30" t="n">
        <f aca="false">'Volume &amp; Funnel'!V14*Assumptions!B27</f>
        <v>2664</v>
      </c>
      <c r="W9" s="30" t="n">
        <f aca="false">'Volume &amp; Funnel'!W14*Assumptions!B27</f>
        <v>2984</v>
      </c>
      <c r="X9" s="30" t="n">
        <f aca="false">'Volume &amp; Funnel'!X14*Assumptions!B27</f>
        <v>3352</v>
      </c>
      <c r="Y9" s="30" t="n">
        <f aca="false">'Volume &amp; Funnel'!Y14*Assumptions!B27</f>
        <v>3760</v>
      </c>
      <c r="Z9" s="30" t="n">
        <f aca="false">'Volume &amp; Funnel'!Z14*Assumptions!B27</f>
        <v>4224</v>
      </c>
      <c r="AB9" s="30" t="n">
        <f aca="false">'Volume &amp; Funnel'!AB14*Assumptions!B27</f>
        <v>5696</v>
      </c>
      <c r="AC9" s="30" t="n">
        <f aca="false">'Volume &amp; Funnel'!AC14*Assumptions!B27</f>
        <v>6032</v>
      </c>
      <c r="AD9" s="30" t="n">
        <f aca="false">'Volume &amp; Funnel'!AD14*Assumptions!B27</f>
        <v>6392</v>
      </c>
      <c r="AE9" s="30" t="n">
        <f aca="false">'Volume &amp; Funnel'!AE14*Assumptions!B27</f>
        <v>6776</v>
      </c>
      <c r="AF9" s="30" t="n">
        <f aca="false">'Volume &amp; Funnel'!AF14*Assumptions!B27</f>
        <v>7176</v>
      </c>
      <c r="AG9" s="30" t="n">
        <f aca="false">'Volume &amp; Funnel'!AG14*Assumptions!B27</f>
        <v>7600</v>
      </c>
      <c r="AH9" s="30" t="n">
        <f aca="false">'Volume &amp; Funnel'!AH14*Assumptions!B27</f>
        <v>8056</v>
      </c>
      <c r="AI9" s="30" t="n">
        <f aca="false">'Volume &amp; Funnel'!AI14*Assumptions!B27</f>
        <v>8536</v>
      </c>
      <c r="AJ9" s="30" t="n">
        <f aca="false">'Volume &amp; Funnel'!AJ14*Assumptions!B27</f>
        <v>9040</v>
      </c>
      <c r="AK9" s="30" t="n">
        <f aca="false">'Volume &amp; Funnel'!AK14*Assumptions!B27</f>
        <v>9576</v>
      </c>
      <c r="AL9" s="30" t="n">
        <f aca="false">'Volume &amp; Funnel'!AL14*Assumptions!B27</f>
        <v>10144</v>
      </c>
      <c r="AM9" s="30" t="n">
        <f aca="false">'Volume &amp; Funnel'!AM14*Assumptions!B27</f>
        <v>10144</v>
      </c>
      <c r="AO9" s="17" t="n">
        <f aca="false">SUM(B9:M9)</f>
        <v>4232</v>
      </c>
      <c r="AP9" s="17" t="n">
        <f aca="false">SUM(O9:Z9)</f>
        <v>29032</v>
      </c>
      <c r="AQ9" s="17" t="n">
        <f aca="false">SUM(AB9:AM9)</f>
        <v>95168</v>
      </c>
    </row>
    <row r="10" customFormat="false" ht="15" hidden="false" customHeight="true" outlineLevel="0" collapsed="false">
      <c r="A10" s="38" t="s">
        <v>181</v>
      </c>
      <c r="B10" s="39" t="n">
        <f aca="false">SUM(B6:B9)</f>
        <v>4926.8</v>
      </c>
      <c r="C10" s="39" t="n">
        <f aca="false">SUM(C6:C9)</f>
        <v>5859.85846719037</v>
      </c>
      <c r="D10" s="39" t="n">
        <f aca="false">SUM(D6:D9)</f>
        <v>6960.09167923036</v>
      </c>
      <c r="E10" s="39" t="n">
        <f aca="false">SUM(E6:E9)</f>
        <v>8270.71285944692</v>
      </c>
      <c r="F10" s="39" t="n">
        <f aca="false">SUM(F6:F9)</f>
        <v>9832.2634433186</v>
      </c>
      <c r="G10" s="39" t="n">
        <f aca="false">SUM(G6:G9)</f>
        <v>11679.8607119546</v>
      </c>
      <c r="H10" s="39" t="n">
        <f aca="false">SUM(H6:H9)</f>
        <v>13881.8802685846</v>
      </c>
      <c r="I10" s="39" t="n">
        <f aca="false">SUM(I6:I9)</f>
        <v>16488.6175627403</v>
      </c>
      <c r="J10" s="39" t="n">
        <f aca="false">SUM(J6:J9)</f>
        <v>19591.4809874901</v>
      </c>
      <c r="K10" s="39" t="n">
        <f aca="false">SUM(K6:K9)</f>
        <v>23282.9789619795</v>
      </c>
      <c r="L10" s="39" t="n">
        <f aca="false">SUM(L6:L9)</f>
        <v>27663.5751594331</v>
      </c>
      <c r="M10" s="39" t="n">
        <f aca="false">SUM(M6:M9)</f>
        <v>32872</v>
      </c>
      <c r="O10" s="39" t="n">
        <f aca="false">SUM(O6:O9)</f>
        <v>50264.8631381736</v>
      </c>
      <c r="P10" s="39" t="n">
        <f aca="false">SUM(P6:P9)</f>
        <v>56419.3788149119</v>
      </c>
      <c r="Q10" s="39" t="n">
        <f aca="false">SUM(Q6:Q9)</f>
        <v>63335.6364188578</v>
      </c>
      <c r="R10" s="39" t="n">
        <f aca="false">SUM(R6:R9)</f>
        <v>71094.8109152609</v>
      </c>
      <c r="S10" s="39" t="n">
        <f aca="false">SUM(S6:S9)</f>
        <v>79795.5959159848</v>
      </c>
      <c r="T10" s="39" t="n">
        <f aca="false">SUM(T6:T9)</f>
        <v>89566.4</v>
      </c>
      <c r="U10" s="39" t="n">
        <f aca="false">SUM(U6:U9)</f>
        <v>100532.426276347</v>
      </c>
      <c r="V10" s="39" t="n">
        <f aca="false">SUM(V6:V9)</f>
        <v>112850.757629824</v>
      </c>
      <c r="W10" s="39" t="n">
        <f aca="false">SUM(W6:W9)</f>
        <v>126663.272837716</v>
      </c>
      <c r="X10" s="39" t="n">
        <f aca="false">SUM(X6:X9)</f>
        <v>142177.621830522</v>
      </c>
      <c r="Y10" s="39" t="n">
        <f aca="false">SUM(Y6:Y9)</f>
        <v>159584.49183197</v>
      </c>
      <c r="Z10" s="39" t="n">
        <f aca="false">SUM(Z6:Z9)</f>
        <v>179132.8</v>
      </c>
      <c r="AB10" s="39" t="n">
        <f aca="false">SUM(AB6:AB9)</f>
        <v>239621.40645013</v>
      </c>
      <c r="AC10" s="39" t="n">
        <f aca="false">SUM(AC6:AC9)</f>
        <v>253866.84870343</v>
      </c>
      <c r="AD10" s="39" t="n">
        <f aca="false">SUM(AD6:AD9)</f>
        <v>268963.633136671</v>
      </c>
      <c r="AE10" s="39" t="n">
        <f aca="false">SUM(AE6:AE9)</f>
        <v>284961.346694097</v>
      </c>
      <c r="AF10" s="39" t="n">
        <f aca="false">SUM(AF6:AF9)</f>
        <v>301904.840067497</v>
      </c>
      <c r="AG10" s="39" t="n">
        <f aca="false">SUM(AG6:AG9)</f>
        <v>319855.721768731</v>
      </c>
      <c r="AH10" s="39" t="n">
        <f aca="false">SUM(AH6:AH9)</f>
        <v>338879.263742415</v>
      </c>
      <c r="AI10" s="39" t="n">
        <f aca="false">SUM(AI6:AI9)</f>
        <v>359027.319204965</v>
      </c>
      <c r="AJ10" s="39" t="n">
        <f aca="false">SUM(AJ6:AJ9)</f>
        <v>380374.553437031</v>
      </c>
      <c r="AK10" s="39" t="n">
        <f aca="false">SUM(AK6:AK9)</f>
        <v>402991.88829956</v>
      </c>
      <c r="AL10" s="39" t="n">
        <f aca="false">SUM(AL6:AL9)</f>
        <v>426859</v>
      </c>
      <c r="AM10" s="39" t="n">
        <f aca="false">SUM(AM6:AM9)</f>
        <v>426859</v>
      </c>
      <c r="AO10" s="39" t="n">
        <f aca="false">SUM(B10:M10)</f>
        <v>181310.120101368</v>
      </c>
      <c r="AP10" s="39" t="n">
        <f aca="false">SUM(O10:Z10)</f>
        <v>1231418.05560957</v>
      </c>
      <c r="AQ10" s="39" t="n">
        <f aca="false">SUM(AB10:AM10)</f>
        <v>4004164.82150452</v>
      </c>
    </row>
    <row r="12" customFormat="false" ht="15" hidden="false" customHeight="true" outlineLevel="0" collapsed="false">
      <c r="A12" s="12" t="s">
        <v>182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</row>
    <row r="13" customFormat="false" ht="15" hidden="false" customHeight="true" outlineLevel="0" collapsed="false">
      <c r="A13" s="13" t="s">
        <v>183</v>
      </c>
      <c r="B13" s="31" t="n">
        <f aca="false">-'Volume &amp; Funnel'!B19*Assumptions!B35</f>
        <v>-1422</v>
      </c>
      <c r="C13" s="31" t="n">
        <f aca="false">-'Volume &amp; Funnel'!C19*Assumptions!B35</f>
        <v>-1683</v>
      </c>
      <c r="D13" s="31" t="n">
        <f aca="false">-'Volume &amp; Funnel'!D19*Assumptions!B35</f>
        <v>-1998</v>
      </c>
      <c r="E13" s="31" t="n">
        <f aca="false">-'Volume &amp; Funnel'!E19*Assumptions!B35</f>
        <v>-2376</v>
      </c>
      <c r="F13" s="31" t="n">
        <f aca="false">-'Volume &amp; Funnel'!F19*Assumptions!B35</f>
        <v>-2826</v>
      </c>
      <c r="G13" s="31" t="n">
        <f aca="false">-'Volume &amp; Funnel'!G19*Assumptions!B35</f>
        <v>-3357</v>
      </c>
      <c r="H13" s="31" t="n">
        <f aca="false">-'Volume &amp; Funnel'!H19*Assumptions!B35</f>
        <v>-3987</v>
      </c>
      <c r="I13" s="31" t="n">
        <f aca="false">-'Volume &amp; Funnel'!I19*Assumptions!B35</f>
        <v>-4734</v>
      </c>
      <c r="J13" s="31" t="n">
        <f aca="false">-'Volume &amp; Funnel'!J19*Assumptions!B35</f>
        <v>-5625</v>
      </c>
      <c r="K13" s="31" t="n">
        <f aca="false">-'Volume &amp; Funnel'!K19*Assumptions!B35</f>
        <v>-6687</v>
      </c>
      <c r="L13" s="31" t="n">
        <f aca="false">-'Volume &amp; Funnel'!L19*Assumptions!B35</f>
        <v>-7947</v>
      </c>
      <c r="M13" s="31" t="n">
        <f aca="false">-'Volume &amp; Funnel'!M19*Assumptions!B35</f>
        <v>-9441</v>
      </c>
      <c r="O13" s="31" t="n">
        <f aca="false">-'Volume &amp; Funnel'!O19*Assumptions!B35</f>
        <v>-14571</v>
      </c>
      <c r="P13" s="31" t="n">
        <f aca="false">-'Volume &amp; Funnel'!P19*Assumptions!B35</f>
        <v>-16353</v>
      </c>
      <c r="Q13" s="31" t="n">
        <f aca="false">-'Volume &amp; Funnel'!Q19*Assumptions!B35</f>
        <v>-18360</v>
      </c>
      <c r="R13" s="31" t="n">
        <f aca="false">-'Volume &amp; Funnel'!R19*Assumptions!B35</f>
        <v>-20610</v>
      </c>
      <c r="S13" s="31" t="n">
        <f aca="false">-'Volume &amp; Funnel'!S19*Assumptions!B35</f>
        <v>-23130</v>
      </c>
      <c r="T13" s="31" t="n">
        <f aca="false">-'Volume &amp; Funnel'!T19*Assumptions!B35</f>
        <v>-25965</v>
      </c>
      <c r="U13" s="31" t="n">
        <f aca="false">-'Volume &amp; Funnel'!U19*Assumptions!B35</f>
        <v>-29142</v>
      </c>
      <c r="V13" s="31" t="n">
        <f aca="false">-'Volume &amp; Funnel'!V19*Assumptions!B35</f>
        <v>-32715</v>
      </c>
      <c r="W13" s="31" t="n">
        <f aca="false">-'Volume &amp; Funnel'!W19*Assumptions!B35</f>
        <v>-36711</v>
      </c>
      <c r="X13" s="31" t="n">
        <f aca="false">-'Volume &amp; Funnel'!X19*Assumptions!B35</f>
        <v>-41211</v>
      </c>
      <c r="Y13" s="31" t="n">
        <f aca="false">-'Volume &amp; Funnel'!Y19*Assumptions!B35</f>
        <v>-46260</v>
      </c>
      <c r="Z13" s="31" t="n">
        <f aca="false">-'Volume &amp; Funnel'!Z19*Assumptions!B35</f>
        <v>-51921</v>
      </c>
      <c r="AB13" s="31" t="n">
        <f aca="false">-'Volume &amp; Funnel'!AB19*Assumptions!B35</f>
        <v>-67167</v>
      </c>
      <c r="AC13" s="31" t="n">
        <f aca="false">-'Volume &amp; Funnel'!AC19*Assumptions!B35</f>
        <v>-71163</v>
      </c>
      <c r="AD13" s="31" t="n">
        <f aca="false">-'Volume &amp; Funnel'!AD19*Assumptions!B35</f>
        <v>-75393</v>
      </c>
      <c r="AE13" s="31" t="n">
        <f aca="false">-'Volume &amp; Funnel'!AE19*Assumptions!B35</f>
        <v>-79875</v>
      </c>
      <c r="AF13" s="31" t="n">
        <f aca="false">-'Volume &amp; Funnel'!AF19*Assumptions!B35</f>
        <v>-84636</v>
      </c>
      <c r="AG13" s="31" t="n">
        <f aca="false">-'Volume &amp; Funnel'!AG19*Assumptions!B35</f>
        <v>-89667</v>
      </c>
      <c r="AH13" s="31" t="n">
        <f aca="false">-'Volume &amp; Funnel'!AH19*Assumptions!B35</f>
        <v>-94995</v>
      </c>
      <c r="AI13" s="31" t="n">
        <f aca="false">-'Volume &amp; Funnel'!AI19*Assumptions!B35</f>
        <v>-100638</v>
      </c>
      <c r="AJ13" s="31" t="n">
        <f aca="false">-'Volume &amp; Funnel'!AJ19*Assumptions!B35</f>
        <v>-106632</v>
      </c>
      <c r="AK13" s="31" t="n">
        <f aca="false">-'Volume &amp; Funnel'!AK19*Assumptions!B35</f>
        <v>-112968</v>
      </c>
      <c r="AL13" s="31" t="n">
        <f aca="false">-'Volume &amp; Funnel'!AL19*Assumptions!B35</f>
        <v>-119655</v>
      </c>
      <c r="AM13" s="31" t="n">
        <f aca="false">-'Volume &amp; Funnel'!AM19*Assumptions!B35</f>
        <v>-119655</v>
      </c>
      <c r="AO13" s="36" t="n">
        <f aca="false">SUM(B13:M13)</f>
        <v>-52083</v>
      </c>
      <c r="AP13" s="36" t="n">
        <f aca="false">SUM(O13:Z13)</f>
        <v>-356949</v>
      </c>
      <c r="AQ13" s="36" t="n">
        <f aca="false">SUM(AB13:AM13)</f>
        <v>-1122444</v>
      </c>
    </row>
    <row r="14" customFormat="false" ht="15" hidden="false" customHeight="true" outlineLevel="0" collapsed="false">
      <c r="A14" s="13" t="s">
        <v>184</v>
      </c>
      <c r="B14" s="35" t="n">
        <f aca="false">-(Assumptions!B36*Assumptions!B38)</f>
        <v>-16800</v>
      </c>
      <c r="C14" s="35" t="n">
        <f aca="false">-(Assumptions!B36*Assumptions!B38)</f>
        <v>-16800</v>
      </c>
      <c r="D14" s="35" t="n">
        <f aca="false">-(Assumptions!B36*Assumptions!B38)</f>
        <v>-16800</v>
      </c>
      <c r="E14" s="35" t="n">
        <f aca="false">-(Assumptions!B36*Assumptions!B38)</f>
        <v>-16800</v>
      </c>
      <c r="F14" s="35" t="n">
        <f aca="false">-(Assumptions!B36*Assumptions!B38)</f>
        <v>-16800</v>
      </c>
      <c r="G14" s="35" t="n">
        <f aca="false">-(Assumptions!B36*Assumptions!B38)</f>
        <v>-16800</v>
      </c>
      <c r="H14" s="35" t="n">
        <f aca="false">-(Assumptions!B36*Assumptions!B38)</f>
        <v>-16800</v>
      </c>
      <c r="I14" s="35" t="n">
        <f aca="false">-(Assumptions!B36*Assumptions!B38)</f>
        <v>-16800</v>
      </c>
      <c r="J14" s="35" t="n">
        <f aca="false">-(Assumptions!B36*Assumptions!B38)</f>
        <v>-16800</v>
      </c>
      <c r="K14" s="35" t="n">
        <f aca="false">-(Assumptions!B36*Assumptions!B38)</f>
        <v>-16800</v>
      </c>
      <c r="L14" s="35" t="n">
        <f aca="false">-(Assumptions!B36*Assumptions!B38)</f>
        <v>-16800</v>
      </c>
      <c r="M14" s="35" t="n">
        <f aca="false">-(Assumptions!B36*Assumptions!B38)</f>
        <v>-16800</v>
      </c>
      <c r="O14" s="35" t="n">
        <f aca="false">-(Assumptions!C36*Assumptions!B38)</f>
        <v>-33600</v>
      </c>
      <c r="P14" s="35" t="n">
        <f aca="false">-(Assumptions!C36*Assumptions!B38)</f>
        <v>-33600</v>
      </c>
      <c r="Q14" s="35" t="n">
        <f aca="false">-(Assumptions!C36*Assumptions!B38)</f>
        <v>-33600</v>
      </c>
      <c r="R14" s="35" t="n">
        <f aca="false">-(Assumptions!C36*Assumptions!B38)</f>
        <v>-33600</v>
      </c>
      <c r="S14" s="35" t="n">
        <f aca="false">-(Assumptions!C36*Assumptions!B38)</f>
        <v>-33600</v>
      </c>
      <c r="T14" s="35" t="n">
        <f aca="false">-(Assumptions!C36*Assumptions!B38)</f>
        <v>-33600</v>
      </c>
      <c r="U14" s="35" t="n">
        <f aca="false">-(Assumptions!C36*Assumptions!B38)</f>
        <v>-33600</v>
      </c>
      <c r="V14" s="35" t="n">
        <f aca="false">-(Assumptions!C36*Assumptions!B38)</f>
        <v>-33600</v>
      </c>
      <c r="W14" s="35" t="n">
        <f aca="false">-(Assumptions!C36*Assumptions!B38)</f>
        <v>-33600</v>
      </c>
      <c r="X14" s="35" t="n">
        <f aca="false">-(Assumptions!C36*Assumptions!B38)</f>
        <v>-33600</v>
      </c>
      <c r="Y14" s="35" t="n">
        <f aca="false">-(Assumptions!C36*Assumptions!B38)</f>
        <v>-33600</v>
      </c>
      <c r="Z14" s="35" t="n">
        <f aca="false">-(Assumptions!C36*Assumptions!B38)</f>
        <v>-33600</v>
      </c>
      <c r="AB14" s="35" t="n">
        <f aca="false">-(Assumptions!D36*Assumptions!B38)</f>
        <v>-61600</v>
      </c>
      <c r="AC14" s="35" t="n">
        <f aca="false">-(Assumptions!D36*Assumptions!B38)</f>
        <v>-61600</v>
      </c>
      <c r="AD14" s="35" t="n">
        <f aca="false">-(Assumptions!D36*Assumptions!B38)</f>
        <v>-61600</v>
      </c>
      <c r="AE14" s="35" t="n">
        <f aca="false">-(Assumptions!D36*Assumptions!B38)</f>
        <v>-61600</v>
      </c>
      <c r="AF14" s="35" t="n">
        <f aca="false">-(Assumptions!D36*Assumptions!B38)</f>
        <v>-61600</v>
      </c>
      <c r="AG14" s="35" t="n">
        <f aca="false">-(Assumptions!D36*Assumptions!B38)</f>
        <v>-61600</v>
      </c>
      <c r="AH14" s="35" t="n">
        <f aca="false">-(Assumptions!D36*Assumptions!B38)</f>
        <v>-61600</v>
      </c>
      <c r="AI14" s="35" t="n">
        <f aca="false">-(Assumptions!D36*Assumptions!B38)</f>
        <v>-61600</v>
      </c>
      <c r="AJ14" s="35" t="n">
        <f aca="false">-(Assumptions!D36*Assumptions!B38)</f>
        <v>-61600</v>
      </c>
      <c r="AK14" s="35" t="n">
        <f aca="false">-(Assumptions!D36*Assumptions!B38)</f>
        <v>-61600</v>
      </c>
      <c r="AL14" s="35" t="n">
        <f aca="false">-(Assumptions!D36*Assumptions!B38)</f>
        <v>-61600</v>
      </c>
      <c r="AM14" s="35" t="n">
        <f aca="false">-(Assumptions!D36*Assumptions!B38)</f>
        <v>-61600</v>
      </c>
      <c r="AO14" s="36" t="n">
        <f aca="false">SUM(B14:M14)</f>
        <v>-201600</v>
      </c>
      <c r="AP14" s="36" t="n">
        <f aca="false">SUM(O14:Z14)</f>
        <v>-403200</v>
      </c>
      <c r="AQ14" s="36" t="n">
        <f aca="false">SUM(AB14:AM14)</f>
        <v>-739200</v>
      </c>
    </row>
    <row r="15" customFormat="false" ht="15" hidden="false" customHeight="true" outlineLevel="0" collapsed="false">
      <c r="A15" s="13" t="s">
        <v>185</v>
      </c>
      <c r="B15" s="35" t="n">
        <f aca="false">-'Volume &amp; Funnel'!B15*Assumptions!B46</f>
        <v>-491.4</v>
      </c>
      <c r="C15" s="35" t="n">
        <f aca="false">-'Volume &amp; Funnel'!C15*Assumptions!B46</f>
        <v>-583.2</v>
      </c>
      <c r="D15" s="35" t="n">
        <f aca="false">-'Volume &amp; Funnel'!D15*Assumptions!B46</f>
        <v>-693</v>
      </c>
      <c r="E15" s="35" t="n">
        <f aca="false">-'Volume &amp; Funnel'!E15*Assumptions!B46</f>
        <v>-824.4</v>
      </c>
      <c r="F15" s="35" t="n">
        <f aca="false">-'Volume &amp; Funnel'!F15*Assumptions!B46</f>
        <v>-979.2</v>
      </c>
      <c r="G15" s="35" t="n">
        <f aca="false">-'Volume &amp; Funnel'!G15*Assumptions!B46</f>
        <v>-1162.8</v>
      </c>
      <c r="H15" s="35" t="n">
        <f aca="false">-'Volume &amp; Funnel'!H15*Assumptions!B46</f>
        <v>-1382.4</v>
      </c>
      <c r="I15" s="35" t="n">
        <f aca="false">-'Volume &amp; Funnel'!I15*Assumptions!B46</f>
        <v>-1641.6</v>
      </c>
      <c r="J15" s="35" t="n">
        <f aca="false">-'Volume &amp; Funnel'!J15*Assumptions!B46</f>
        <v>-1951.2</v>
      </c>
      <c r="K15" s="35" t="n">
        <f aca="false">-'Volume &amp; Funnel'!K15*Assumptions!B46</f>
        <v>-2318.4</v>
      </c>
      <c r="L15" s="35" t="n">
        <f aca="false">-'Volume &amp; Funnel'!L15*Assumptions!B46</f>
        <v>-2754</v>
      </c>
      <c r="M15" s="35" t="n">
        <f aca="false">-'Volume &amp; Funnel'!M15*Assumptions!B46</f>
        <v>-3272.4</v>
      </c>
      <c r="O15" s="35" t="n">
        <f aca="false">-'Volume &amp; Funnel'!O15*Assumptions!B46</f>
        <v>-5050.8</v>
      </c>
      <c r="P15" s="35" t="n">
        <f aca="false">-'Volume &amp; Funnel'!P15*Assumptions!B46</f>
        <v>-5670</v>
      </c>
      <c r="Q15" s="35" t="n">
        <f aca="false">-'Volume &amp; Funnel'!Q15*Assumptions!B46</f>
        <v>-6364.8</v>
      </c>
      <c r="R15" s="35" t="n">
        <f aca="false">-'Volume &amp; Funnel'!R15*Assumptions!B46</f>
        <v>-7144.2</v>
      </c>
      <c r="S15" s="35" t="n">
        <f aca="false">-'Volume &amp; Funnel'!S15*Assumptions!B46</f>
        <v>-8017.2</v>
      </c>
      <c r="T15" s="35" t="n">
        <f aca="false">-'Volume &amp; Funnel'!T15*Assumptions!B46</f>
        <v>-9000</v>
      </c>
      <c r="U15" s="35" t="n">
        <f aca="false">-'Volume &amp; Funnel'!U15*Assumptions!B46</f>
        <v>-10101.6</v>
      </c>
      <c r="V15" s="35" t="n">
        <f aca="false">-'Volume &amp; Funnel'!V15*Assumptions!B46</f>
        <v>-11340</v>
      </c>
      <c r="W15" s="35" t="n">
        <f aca="false">-'Volume &amp; Funnel'!W15*Assumptions!B46</f>
        <v>-12727.8</v>
      </c>
      <c r="X15" s="35" t="n">
        <f aca="false">-'Volume &amp; Funnel'!X15*Assumptions!B46</f>
        <v>-14286.6</v>
      </c>
      <c r="Y15" s="35" t="n">
        <f aca="false">-'Volume &amp; Funnel'!Y15*Assumptions!B46</f>
        <v>-16036.2</v>
      </c>
      <c r="Z15" s="35" t="n">
        <f aca="false">-'Volume &amp; Funnel'!Z15*Assumptions!B46</f>
        <v>-18000</v>
      </c>
      <c r="AB15" s="35" t="n">
        <f aca="false">-'Volume &amp; Funnel'!AB15*Assumptions!B46</f>
        <v>-24271.2</v>
      </c>
      <c r="AC15" s="35" t="n">
        <f aca="false">-'Volume &amp; Funnel'!AC15*Assumptions!B46</f>
        <v>-25714.8</v>
      </c>
      <c r="AD15" s="35" t="n">
        <f aca="false">-'Volume &amp; Funnel'!AD15*Assumptions!B46</f>
        <v>-27243</v>
      </c>
      <c r="AE15" s="35" t="n">
        <f aca="false">-'Volume &amp; Funnel'!AE15*Assumptions!B46</f>
        <v>-28863</v>
      </c>
      <c r="AF15" s="35" t="n">
        <f aca="false">-'Volume &amp; Funnel'!AF15*Assumptions!B46</f>
        <v>-30580.2</v>
      </c>
      <c r="AG15" s="35" t="n">
        <f aca="false">-'Volume &amp; Funnel'!AG15*Assumptions!B46</f>
        <v>-32398.2</v>
      </c>
      <c r="AH15" s="35" t="n">
        <f aca="false">-'Volume &amp; Funnel'!AH15*Assumptions!B46</f>
        <v>-34324.2</v>
      </c>
      <c r="AI15" s="35" t="n">
        <f aca="false">-'Volume &amp; Funnel'!AI15*Assumptions!B46</f>
        <v>-36365.4</v>
      </c>
      <c r="AJ15" s="35" t="n">
        <f aca="false">-'Volume &amp; Funnel'!AJ15*Assumptions!B46</f>
        <v>-38529</v>
      </c>
      <c r="AK15" s="35" t="n">
        <f aca="false">-'Volume &amp; Funnel'!AK15*Assumptions!B46</f>
        <v>-40818.6</v>
      </c>
      <c r="AL15" s="35" t="n">
        <f aca="false">-'Volume &amp; Funnel'!AL15*Assumptions!B46</f>
        <v>-43236</v>
      </c>
      <c r="AM15" s="35" t="n">
        <f aca="false">-'Volume &amp; Funnel'!AM15*Assumptions!B46</f>
        <v>-43236</v>
      </c>
      <c r="AO15" s="36" t="n">
        <f aca="false">SUM(B15:M15)</f>
        <v>-18054</v>
      </c>
      <c r="AP15" s="36" t="n">
        <f aca="false">SUM(O15:Z15)</f>
        <v>-123739.2</v>
      </c>
      <c r="AQ15" s="36" t="n">
        <f aca="false">SUM(AB15:AM15)</f>
        <v>-405579.6</v>
      </c>
    </row>
    <row r="16" customFormat="false" ht="15" hidden="false" customHeight="true" outlineLevel="0" collapsed="false">
      <c r="A16" s="38" t="s">
        <v>186</v>
      </c>
      <c r="B16" s="39" t="n">
        <f aca="false">SUM(B13:B15)</f>
        <v>-18713.4</v>
      </c>
      <c r="C16" s="39" t="n">
        <f aca="false">SUM(C13:C15)</f>
        <v>-19066.2</v>
      </c>
      <c r="D16" s="39" t="n">
        <f aca="false">SUM(D13:D15)</f>
        <v>-19491</v>
      </c>
      <c r="E16" s="39" t="n">
        <f aca="false">SUM(E13:E15)</f>
        <v>-20000.4</v>
      </c>
      <c r="F16" s="39" t="n">
        <f aca="false">SUM(F13:F15)</f>
        <v>-20605.2</v>
      </c>
      <c r="G16" s="39" t="n">
        <f aca="false">SUM(G13:G15)</f>
        <v>-21319.8</v>
      </c>
      <c r="H16" s="39" t="n">
        <f aca="false">SUM(H13:H15)</f>
        <v>-22169.4</v>
      </c>
      <c r="I16" s="39" t="n">
        <f aca="false">SUM(I13:I15)</f>
        <v>-23175.6</v>
      </c>
      <c r="J16" s="39" t="n">
        <f aca="false">SUM(J13:J15)</f>
        <v>-24376.2</v>
      </c>
      <c r="K16" s="39" t="n">
        <f aca="false">SUM(K13:K15)</f>
        <v>-25805.4</v>
      </c>
      <c r="L16" s="39" t="n">
        <f aca="false">SUM(L13:L15)</f>
        <v>-27501</v>
      </c>
      <c r="M16" s="39" t="n">
        <f aca="false">SUM(M13:M15)</f>
        <v>-29513.4</v>
      </c>
      <c r="O16" s="39" t="n">
        <f aca="false">SUM(O13:O15)</f>
        <v>-53221.8</v>
      </c>
      <c r="P16" s="39" t="n">
        <f aca="false">SUM(P13:P15)</f>
        <v>-55623</v>
      </c>
      <c r="Q16" s="39" t="n">
        <f aca="false">SUM(Q13:Q15)</f>
        <v>-58324.8</v>
      </c>
      <c r="R16" s="39" t="n">
        <f aca="false">SUM(R13:R15)</f>
        <v>-61354.2</v>
      </c>
      <c r="S16" s="39" t="n">
        <f aca="false">SUM(S13:S15)</f>
        <v>-64747.2</v>
      </c>
      <c r="T16" s="39" t="n">
        <f aca="false">SUM(T13:T15)</f>
        <v>-68565</v>
      </c>
      <c r="U16" s="39" t="n">
        <f aca="false">SUM(U13:U15)</f>
        <v>-72843.6</v>
      </c>
      <c r="V16" s="39" t="n">
        <f aca="false">SUM(V13:V15)</f>
        <v>-77655</v>
      </c>
      <c r="W16" s="39" t="n">
        <f aca="false">SUM(W13:W15)</f>
        <v>-83038.8</v>
      </c>
      <c r="X16" s="39" t="n">
        <f aca="false">SUM(X13:X15)</f>
        <v>-89097.6</v>
      </c>
      <c r="Y16" s="39" t="n">
        <f aca="false">SUM(Y13:Y15)</f>
        <v>-95896.2</v>
      </c>
      <c r="Z16" s="39" t="n">
        <f aca="false">SUM(Z13:Z15)</f>
        <v>-103521</v>
      </c>
      <c r="AB16" s="39" t="n">
        <f aca="false">SUM(AB13:AB15)</f>
        <v>-153038.2</v>
      </c>
      <c r="AC16" s="39" t="n">
        <f aca="false">SUM(AC13:AC15)</f>
        <v>-158477.8</v>
      </c>
      <c r="AD16" s="39" t="n">
        <f aca="false">SUM(AD13:AD15)</f>
        <v>-164236</v>
      </c>
      <c r="AE16" s="39" t="n">
        <f aca="false">SUM(AE13:AE15)</f>
        <v>-170338</v>
      </c>
      <c r="AF16" s="39" t="n">
        <f aca="false">SUM(AF13:AF15)</f>
        <v>-176816.2</v>
      </c>
      <c r="AG16" s="39" t="n">
        <f aca="false">SUM(AG13:AG15)</f>
        <v>-183665.2</v>
      </c>
      <c r="AH16" s="39" t="n">
        <f aca="false">SUM(AH13:AH15)</f>
        <v>-190919.2</v>
      </c>
      <c r="AI16" s="39" t="n">
        <f aca="false">SUM(AI13:AI15)</f>
        <v>-198603.4</v>
      </c>
      <c r="AJ16" s="39" t="n">
        <f aca="false">SUM(AJ13:AJ15)</f>
        <v>-206761</v>
      </c>
      <c r="AK16" s="39" t="n">
        <f aca="false">SUM(AK13:AK15)</f>
        <v>-215386.6</v>
      </c>
      <c r="AL16" s="39" t="n">
        <f aca="false">SUM(AL13:AL15)</f>
        <v>-224491</v>
      </c>
      <c r="AM16" s="39" t="n">
        <f aca="false">SUM(AM13:AM15)</f>
        <v>-224491</v>
      </c>
      <c r="AO16" s="39" t="n">
        <f aca="false">SUM(B16:M16)</f>
        <v>-271737</v>
      </c>
      <c r="AP16" s="39" t="n">
        <f aca="false">SUM(O16:Z16)</f>
        <v>-883888.2</v>
      </c>
      <c r="AQ16" s="39" t="n">
        <f aca="false">SUM(AB16:AM16)</f>
        <v>-2267223.6</v>
      </c>
    </row>
    <row r="18" customFormat="false" ht="15" hidden="false" customHeight="true" outlineLevel="0" collapsed="false">
      <c r="A18" s="40" t="s">
        <v>187</v>
      </c>
      <c r="B18" s="41" t="n">
        <f aca="false">B10+B16</f>
        <v>-13786.6</v>
      </c>
      <c r="C18" s="41" t="n">
        <f aca="false">C10+C16</f>
        <v>-13206.3415328096</v>
      </c>
      <c r="D18" s="41" t="n">
        <f aca="false">D10+D16</f>
        <v>-12530.9083207696</v>
      </c>
      <c r="E18" s="41" t="n">
        <f aca="false">E10+E16</f>
        <v>-11729.6871405531</v>
      </c>
      <c r="F18" s="41" t="n">
        <f aca="false">F10+F16</f>
        <v>-10772.9365566814</v>
      </c>
      <c r="G18" s="41" t="n">
        <f aca="false">G10+G16</f>
        <v>-9639.93928804538</v>
      </c>
      <c r="H18" s="41" t="n">
        <f aca="false">H10+H16</f>
        <v>-8287.51973141536</v>
      </c>
      <c r="I18" s="41" t="n">
        <f aca="false">I10+I16</f>
        <v>-6686.98243725973</v>
      </c>
      <c r="J18" s="41" t="n">
        <f aca="false">J10+J16</f>
        <v>-4784.71901250993</v>
      </c>
      <c r="K18" s="41" t="n">
        <f aca="false">K10+K16</f>
        <v>-2522.4210380205</v>
      </c>
      <c r="L18" s="41" t="n">
        <f aca="false">L10+L16</f>
        <v>162.575159433116</v>
      </c>
      <c r="M18" s="41" t="n">
        <f aca="false">M10+M16</f>
        <v>3358.59999999998</v>
      </c>
      <c r="O18" s="41" t="n">
        <f aca="false">O10+O16</f>
        <v>-2956.93686182636</v>
      </c>
      <c r="P18" s="41" t="n">
        <f aca="false">P10+P16</f>
        <v>796.378814911848</v>
      </c>
      <c r="Q18" s="41" t="n">
        <f aca="false">Q10+Q16</f>
        <v>5010.83641885778</v>
      </c>
      <c r="R18" s="41" t="n">
        <f aca="false">R10+R16</f>
        <v>9740.61091526086</v>
      </c>
      <c r="S18" s="41" t="n">
        <f aca="false">S10+S16</f>
        <v>15048.3959159848</v>
      </c>
      <c r="T18" s="41" t="n">
        <f aca="false">T10+T16</f>
        <v>21001.4</v>
      </c>
      <c r="U18" s="41" t="n">
        <f aca="false">U10+U16</f>
        <v>27688.8262763473</v>
      </c>
      <c r="V18" s="41" t="n">
        <f aca="false">V10+V16</f>
        <v>35195.7576298237</v>
      </c>
      <c r="W18" s="41" t="n">
        <f aca="false">W10+W16</f>
        <v>43624.4728377156</v>
      </c>
      <c r="X18" s="41" t="n">
        <f aca="false">X10+X16</f>
        <v>53080.0218305217</v>
      </c>
      <c r="Y18" s="41" t="n">
        <f aca="false">Y10+Y16</f>
        <v>63688.2918319697</v>
      </c>
      <c r="Z18" s="41" t="n">
        <f aca="false">Z10+Z16</f>
        <v>75611.8</v>
      </c>
      <c r="AB18" s="41" t="n">
        <f aca="false">AB10+AB16</f>
        <v>86583.2064501304</v>
      </c>
      <c r="AC18" s="41" t="n">
        <f aca="false">AC10+AC16</f>
        <v>95389.0487034296</v>
      </c>
      <c r="AD18" s="41" t="n">
        <f aca="false">AD10+AD16</f>
        <v>104727.633136671</v>
      </c>
      <c r="AE18" s="41" t="n">
        <f aca="false">AE10+AE16</f>
        <v>114623.346694097</v>
      </c>
      <c r="AF18" s="41" t="n">
        <f aca="false">AF10+AF16</f>
        <v>125088.640067497</v>
      </c>
      <c r="AG18" s="41" t="n">
        <f aca="false">AG10+AG16</f>
        <v>136190.521768731</v>
      </c>
      <c r="AH18" s="41" t="n">
        <f aca="false">AH10+AH16</f>
        <v>147960.063742415</v>
      </c>
      <c r="AI18" s="41" t="n">
        <f aca="false">AI10+AI16</f>
        <v>160423.919204965</v>
      </c>
      <c r="AJ18" s="41" t="n">
        <f aca="false">AJ10+AJ16</f>
        <v>173613.553437031</v>
      </c>
      <c r="AK18" s="41" t="n">
        <f aca="false">AK10+AK16</f>
        <v>187605.288299559</v>
      </c>
      <c r="AL18" s="41" t="n">
        <f aca="false">AL10+AL16</f>
        <v>202368</v>
      </c>
      <c r="AM18" s="41" t="n">
        <f aca="false">AM10+AM16</f>
        <v>202368</v>
      </c>
      <c r="AO18" s="41" t="n">
        <f aca="false">SUM(B18:M18)</f>
        <v>-90426.8798986315</v>
      </c>
      <c r="AP18" s="41" t="n">
        <f aca="false">SUM(O18:Z18)</f>
        <v>347529.855609567</v>
      </c>
      <c r="AQ18" s="41" t="n">
        <f aca="false">SUM(AB18:AM18)</f>
        <v>1736941.22150452</v>
      </c>
    </row>
    <row r="19" customFormat="false" ht="15" hidden="false" customHeight="true" outlineLevel="0" collapsed="false">
      <c r="A19" s="11" t="s">
        <v>188</v>
      </c>
      <c r="B19" s="42" t="n">
        <f aca="false">IFERROR(B18/B10,0)</f>
        <v>-2.79828692051636</v>
      </c>
      <c r="C19" s="42" t="n">
        <f aca="false">IFERROR(C18/C10,0)</f>
        <v>-2.25369633187432</v>
      </c>
      <c r="D19" s="42" t="n">
        <f aca="false">IFERROR(D18/D10,0)</f>
        <v>-1.80039414684194</v>
      </c>
      <c r="E19" s="42" t="n">
        <f aca="false">IFERROR(E18/E10,0)</f>
        <v>-1.41821960692968</v>
      </c>
      <c r="F19" s="42" t="n">
        <f aca="false">IFERROR(F18/F10,0)</f>
        <v>-1.09567208189504</v>
      </c>
      <c r="G19" s="42" t="n">
        <f aca="false">IFERROR(G18/G10,0)</f>
        <v>-0.825347110362255</v>
      </c>
      <c r="H19" s="42" t="n">
        <f aca="false">IFERROR(H18/H10,0)</f>
        <v>-0.597002680549724</v>
      </c>
      <c r="I19" s="42" t="n">
        <f aca="false">IFERROR(I18/I10,0)</f>
        <v>-0.405551430361904</v>
      </c>
      <c r="J19" s="42" t="n">
        <f aca="false">IFERROR(J18/J10,0)</f>
        <v>-0.244224467541027</v>
      </c>
      <c r="K19" s="42" t="n">
        <f aca="false">IFERROR(K18/K10,0)</f>
        <v>-0.108337556037805</v>
      </c>
      <c r="L19" s="42" t="n">
        <f aca="false">IFERROR(L18/L10,0)</f>
        <v>0.00587686727026961</v>
      </c>
      <c r="M19" s="42" t="n">
        <f aca="false">IFERROR(M18/M10,0)</f>
        <v>0.10217206132879</v>
      </c>
      <c r="O19" s="42" t="n">
        <f aca="false">IFERROR(O18/O10,0)</f>
        <v>-0.0588271145531224</v>
      </c>
      <c r="P19" s="42" t="n">
        <f aca="false">IFERROR(P18/P10,0)</f>
        <v>0.0141153417786543</v>
      </c>
      <c r="Q19" s="42" t="n">
        <f aca="false">IFERROR(Q18/Q10,0)</f>
        <v>0.0791155927718101</v>
      </c>
      <c r="R19" s="42" t="n">
        <f aca="false">IFERROR(R18/R10,0)</f>
        <v>0.137008746346774</v>
      </c>
      <c r="S19" s="42" t="n">
        <f aca="false">IFERROR(S18/S10,0)</f>
        <v>0.188586797845698</v>
      </c>
      <c r="T19" s="42" t="n">
        <f aca="false">IFERROR(T18/T10,0)</f>
        <v>0.234478554457922</v>
      </c>
      <c r="U19" s="42" t="n">
        <f aca="false">IFERROR(U18/U10,0)</f>
        <v>0.275421844492594</v>
      </c>
      <c r="V19" s="42" t="n">
        <f aca="false">IFERROR(V18/V10,0)</f>
        <v>0.311878789022169</v>
      </c>
      <c r="W19" s="42" t="n">
        <f aca="false">IFERROR(W18/W10,0)</f>
        <v>0.344412960918896</v>
      </c>
      <c r="X19" s="42" t="n">
        <f aca="false">IFERROR(X18/X10,0)</f>
        <v>0.373335980354166</v>
      </c>
      <c r="Y19" s="42" t="n">
        <f aca="false">IFERROR(Y18/Y10,0)</f>
        <v>0.399088226561693</v>
      </c>
      <c r="Z19" s="42" t="n">
        <f aca="false">IFERROR(Z18/Z10,0)</f>
        <v>0.422099135390057</v>
      </c>
      <c r="AB19" s="42" t="n">
        <f aca="false">IFERROR(AB18/AB10,0)</f>
        <v>0.361333353863566</v>
      </c>
      <c r="AC19" s="42" t="n">
        <f aca="false">IFERROR(AC18/AC10,0)</f>
        <v>0.375744407710612</v>
      </c>
      <c r="AD19" s="42" t="n">
        <f aca="false">IFERROR(AD18/AD10,0)</f>
        <v>0.389374696925865</v>
      </c>
      <c r="AE19" s="42" t="n">
        <f aca="false">IFERROR(AE18/AE10,0)</f>
        <v>0.402241735673519</v>
      </c>
      <c r="AF19" s="42" t="n">
        <f aca="false">IFERROR(AF18/AF10,0)</f>
        <v>0.414331350366992</v>
      </c>
      <c r="AG19" s="42" t="n">
        <f aca="false">IFERROR(AG18/AG10,0)</f>
        <v>0.425787355047543</v>
      </c>
      <c r="AH19" s="42" t="n">
        <f aca="false">IFERROR(AH18/AH10,0)</f>
        <v>0.436615867576012</v>
      </c>
      <c r="AI19" s="42" t="n">
        <f aca="false">IFERROR(AI18/AI10,0)</f>
        <v>0.446829281850222</v>
      </c>
      <c r="AJ19" s="42" t="n">
        <f aca="false">IFERROR(AJ18/AJ10,0)</f>
        <v>0.456427886324871</v>
      </c>
      <c r="AK19" s="42" t="n">
        <f aca="false">IFERROR(AK18/AK10,0)</f>
        <v>0.465531177540986</v>
      </c>
      <c r="AL19" s="42" t="n">
        <f aca="false">IFERROR(AL18/AL10,0)</f>
        <v>0.47408629078923</v>
      </c>
      <c r="AM19" s="42" t="n">
        <f aca="false">IFERROR(AM18/AM10,0)</f>
        <v>0.47408629078923</v>
      </c>
      <c r="AO19" s="42" t="n">
        <f aca="false">IFERROR(AO18/AO10,0)</f>
        <v>-0.498741492466471</v>
      </c>
      <c r="AP19" s="42" t="n">
        <f aca="false">IFERROR(AP18/AP10,0)</f>
        <v>0.282219230119649</v>
      </c>
      <c r="AQ19" s="42" t="n">
        <f aca="false">IFERROR(AQ18/AQ10,0)</f>
        <v>0.433783647510266</v>
      </c>
    </row>
    <row r="21" customFormat="false" ht="15" hidden="false" customHeight="true" outlineLevel="0" collapsed="false">
      <c r="A21" s="12" t="s">
        <v>189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  <row r="22" customFormat="false" ht="15" hidden="false" customHeight="true" outlineLevel="0" collapsed="false">
      <c r="A22" s="13" t="s">
        <v>190</v>
      </c>
      <c r="B22" s="31" t="n">
        <f aca="false">-Assumptions!B47</f>
        <v>-12000</v>
      </c>
      <c r="C22" s="31" t="n">
        <f aca="false">-Assumptions!B47</f>
        <v>-12000</v>
      </c>
      <c r="D22" s="31" t="n">
        <f aca="false">-Assumptions!B47</f>
        <v>-12000</v>
      </c>
      <c r="E22" s="31" t="n">
        <f aca="false">-Assumptions!B47</f>
        <v>-12000</v>
      </c>
      <c r="F22" s="31" t="n">
        <f aca="false">-Assumptions!B47</f>
        <v>-12000</v>
      </c>
      <c r="G22" s="31" t="n">
        <f aca="false">-Assumptions!B47</f>
        <v>-12000</v>
      </c>
      <c r="H22" s="31" t="n">
        <f aca="false">-Assumptions!B47</f>
        <v>-12000</v>
      </c>
      <c r="I22" s="31" t="n">
        <f aca="false">-Assumptions!B47</f>
        <v>-12000</v>
      </c>
      <c r="J22" s="31" t="n">
        <f aca="false">-Assumptions!B47</f>
        <v>-12000</v>
      </c>
      <c r="K22" s="31" t="n">
        <f aca="false">-Assumptions!B47</f>
        <v>-12000</v>
      </c>
      <c r="L22" s="31" t="n">
        <f aca="false">-Assumptions!B47</f>
        <v>-12000</v>
      </c>
      <c r="M22" s="31" t="n">
        <f aca="false">-Assumptions!B47</f>
        <v>-12000</v>
      </c>
      <c r="O22" s="31" t="n">
        <f aca="false">-Assumptions!B47</f>
        <v>-12000</v>
      </c>
      <c r="P22" s="31" t="n">
        <f aca="false">-Assumptions!B47</f>
        <v>-12000</v>
      </c>
      <c r="Q22" s="31" t="n">
        <f aca="false">-Assumptions!B47</f>
        <v>-12000</v>
      </c>
      <c r="R22" s="31" t="n">
        <f aca="false">-Assumptions!B47</f>
        <v>-12000</v>
      </c>
      <c r="S22" s="31" t="n">
        <f aca="false">-Assumptions!B47</f>
        <v>-12000</v>
      </c>
      <c r="T22" s="31" t="n">
        <f aca="false">-Assumptions!B47</f>
        <v>-12000</v>
      </c>
      <c r="U22" s="31" t="n">
        <f aca="false">-Assumptions!B47</f>
        <v>-12000</v>
      </c>
      <c r="V22" s="31" t="n">
        <f aca="false">-Assumptions!B47</f>
        <v>-12000</v>
      </c>
      <c r="W22" s="31" t="n">
        <f aca="false">-Assumptions!B47</f>
        <v>-12000</v>
      </c>
      <c r="X22" s="31" t="n">
        <f aca="false">-Assumptions!B47</f>
        <v>-12000</v>
      </c>
      <c r="Y22" s="31" t="n">
        <f aca="false">-Assumptions!B47</f>
        <v>-12000</v>
      </c>
      <c r="Z22" s="31" t="n">
        <f aca="false">-Assumptions!B47</f>
        <v>-12000</v>
      </c>
      <c r="AB22" s="31" t="n">
        <f aca="false">-Assumptions!B47</f>
        <v>-12000</v>
      </c>
      <c r="AC22" s="31" t="n">
        <f aca="false">-Assumptions!B47</f>
        <v>-12000</v>
      </c>
      <c r="AD22" s="31" t="n">
        <f aca="false">-Assumptions!B47</f>
        <v>-12000</v>
      </c>
      <c r="AE22" s="31" t="n">
        <f aca="false">-Assumptions!B47</f>
        <v>-12000</v>
      </c>
      <c r="AF22" s="31" t="n">
        <f aca="false">-Assumptions!B47</f>
        <v>-12000</v>
      </c>
      <c r="AG22" s="31" t="n">
        <f aca="false">-Assumptions!B47</f>
        <v>-12000</v>
      </c>
      <c r="AH22" s="31" t="n">
        <f aca="false">-Assumptions!B47</f>
        <v>-12000</v>
      </c>
      <c r="AI22" s="31" t="n">
        <f aca="false">-Assumptions!B47</f>
        <v>-12000</v>
      </c>
      <c r="AJ22" s="31" t="n">
        <f aca="false">-Assumptions!B47</f>
        <v>-12000</v>
      </c>
      <c r="AK22" s="31" t="n">
        <f aca="false">-Assumptions!B47</f>
        <v>-12000</v>
      </c>
      <c r="AL22" s="31" t="n">
        <f aca="false">-Assumptions!B47</f>
        <v>-12000</v>
      </c>
      <c r="AM22" s="31" t="n">
        <f aca="false">-Assumptions!B47</f>
        <v>-12000</v>
      </c>
      <c r="AO22" s="36" t="n">
        <f aca="false">SUM(B22:M22)</f>
        <v>-144000</v>
      </c>
      <c r="AP22" s="36" t="n">
        <f aca="false">SUM(O22:Z22)</f>
        <v>-144000</v>
      </c>
      <c r="AQ22" s="36" t="n">
        <f aca="false">SUM(AB22:AM22)</f>
        <v>-144000</v>
      </c>
    </row>
    <row r="23" customFormat="false" ht="15" hidden="false" customHeight="true" outlineLevel="0" collapsed="false">
      <c r="A23" s="13" t="s">
        <v>191</v>
      </c>
      <c r="B23" s="31" t="n">
        <f aca="false">-(Assumptions!B49/12)</f>
        <v>-6000</v>
      </c>
      <c r="C23" s="31" t="n">
        <f aca="false">-(Assumptions!B49/12)</f>
        <v>-6000</v>
      </c>
      <c r="D23" s="31" t="n">
        <f aca="false">-(Assumptions!B49/12)</f>
        <v>-6000</v>
      </c>
      <c r="E23" s="31" t="n">
        <f aca="false">-(Assumptions!B49/12)</f>
        <v>-6000</v>
      </c>
      <c r="F23" s="31" t="n">
        <f aca="false">-(Assumptions!B49/12)</f>
        <v>-6000</v>
      </c>
      <c r="G23" s="31" t="n">
        <f aca="false">-(Assumptions!B49/12)</f>
        <v>-6000</v>
      </c>
      <c r="H23" s="31" t="n">
        <f aca="false">-(Assumptions!B49/12)</f>
        <v>-6000</v>
      </c>
      <c r="I23" s="31" t="n">
        <f aca="false">-(Assumptions!B49/12)</f>
        <v>-6000</v>
      </c>
      <c r="J23" s="31" t="n">
        <f aca="false">-(Assumptions!B49/12)</f>
        <v>-6000</v>
      </c>
      <c r="K23" s="31" t="n">
        <f aca="false">-(Assumptions!B49/12)</f>
        <v>-6000</v>
      </c>
      <c r="L23" s="31" t="n">
        <f aca="false">-(Assumptions!B49/12)</f>
        <v>-6000</v>
      </c>
      <c r="M23" s="31" t="n">
        <f aca="false">-(Assumptions!B49/12)</f>
        <v>-6000</v>
      </c>
      <c r="O23" s="31" t="n">
        <f aca="false">-(Assumptions!B49/12)</f>
        <v>-6000</v>
      </c>
      <c r="P23" s="31" t="n">
        <f aca="false">-(Assumptions!B49/12)</f>
        <v>-6000</v>
      </c>
      <c r="Q23" s="31" t="n">
        <f aca="false">-(Assumptions!B49/12)</f>
        <v>-6000</v>
      </c>
      <c r="R23" s="31" t="n">
        <f aca="false">-(Assumptions!B49/12)</f>
        <v>-6000</v>
      </c>
      <c r="S23" s="31" t="n">
        <f aca="false">-(Assumptions!B49/12)</f>
        <v>-6000</v>
      </c>
      <c r="T23" s="31" t="n">
        <f aca="false">-(Assumptions!B49/12)</f>
        <v>-6000</v>
      </c>
      <c r="U23" s="31" t="n">
        <f aca="false">-(Assumptions!B49/12)</f>
        <v>-6000</v>
      </c>
      <c r="V23" s="31" t="n">
        <f aca="false">-(Assumptions!B49/12)</f>
        <v>-6000</v>
      </c>
      <c r="W23" s="31" t="n">
        <f aca="false">-(Assumptions!B49/12)</f>
        <v>-6000</v>
      </c>
      <c r="X23" s="31" t="n">
        <f aca="false">-(Assumptions!B49/12)</f>
        <v>-6000</v>
      </c>
      <c r="Y23" s="31" t="n">
        <f aca="false">-(Assumptions!B49/12)</f>
        <v>-6000</v>
      </c>
      <c r="Z23" s="31" t="n">
        <f aca="false">-(Assumptions!B49/12)</f>
        <v>-6000</v>
      </c>
      <c r="AB23" s="31" t="n">
        <f aca="false">-(Assumptions!B49/12)</f>
        <v>-6000</v>
      </c>
      <c r="AC23" s="31" t="n">
        <f aca="false">-(Assumptions!B49/12)</f>
        <v>-6000</v>
      </c>
      <c r="AD23" s="31" t="n">
        <f aca="false">-(Assumptions!B49/12)</f>
        <v>-6000</v>
      </c>
      <c r="AE23" s="31" t="n">
        <f aca="false">-(Assumptions!B49/12)</f>
        <v>-6000</v>
      </c>
      <c r="AF23" s="31" t="n">
        <f aca="false">-(Assumptions!B49/12)</f>
        <v>-6000</v>
      </c>
      <c r="AG23" s="31" t="n">
        <f aca="false">-(Assumptions!B49/12)</f>
        <v>-6000</v>
      </c>
      <c r="AH23" s="31" t="n">
        <f aca="false">-(Assumptions!B49/12)</f>
        <v>-6000</v>
      </c>
      <c r="AI23" s="31" t="n">
        <f aca="false">-(Assumptions!B49/12)</f>
        <v>-6000</v>
      </c>
      <c r="AJ23" s="31" t="n">
        <f aca="false">-(Assumptions!B49/12)</f>
        <v>-6000</v>
      </c>
      <c r="AK23" s="31" t="n">
        <f aca="false">-(Assumptions!B49/12)</f>
        <v>-6000</v>
      </c>
      <c r="AL23" s="31" t="n">
        <f aca="false">-(Assumptions!B49/12)</f>
        <v>-6000</v>
      </c>
      <c r="AM23" s="31" t="n">
        <f aca="false">-(Assumptions!B49/12)</f>
        <v>-6000</v>
      </c>
      <c r="AO23" s="36" t="n">
        <f aca="false">SUM(B23:M23)</f>
        <v>-72000</v>
      </c>
      <c r="AP23" s="36" t="n">
        <f aca="false">SUM(O23:Z23)</f>
        <v>-72000</v>
      </c>
      <c r="AQ23" s="36" t="n">
        <f aca="false">SUM(AB23:AM23)</f>
        <v>-72000</v>
      </c>
    </row>
    <row r="24" customFormat="false" ht="15" hidden="false" customHeight="true" outlineLevel="0" collapsed="false">
      <c r="A24" s="13" t="s">
        <v>192</v>
      </c>
      <c r="B24" s="31" t="n">
        <f aca="false">-Assumptions!B48</f>
        <v>-2500</v>
      </c>
      <c r="C24" s="31" t="n">
        <f aca="false">-Assumptions!B48</f>
        <v>-2500</v>
      </c>
      <c r="D24" s="31" t="n">
        <f aca="false">-Assumptions!B48</f>
        <v>-2500</v>
      </c>
      <c r="E24" s="31" t="n">
        <f aca="false">-Assumptions!B48</f>
        <v>-2500</v>
      </c>
      <c r="F24" s="31" t="n">
        <f aca="false">-Assumptions!B48</f>
        <v>-2500</v>
      </c>
      <c r="G24" s="31" t="n">
        <f aca="false">-Assumptions!B48</f>
        <v>-2500</v>
      </c>
      <c r="H24" s="31" t="n">
        <f aca="false">-Assumptions!B48</f>
        <v>-2500</v>
      </c>
      <c r="I24" s="31" t="n">
        <f aca="false">-Assumptions!B48</f>
        <v>-2500</v>
      </c>
      <c r="J24" s="31" t="n">
        <f aca="false">-Assumptions!B48</f>
        <v>-2500</v>
      </c>
      <c r="K24" s="31" t="n">
        <f aca="false">-Assumptions!B48</f>
        <v>-2500</v>
      </c>
      <c r="L24" s="31" t="n">
        <f aca="false">-Assumptions!B48</f>
        <v>-2500</v>
      </c>
      <c r="M24" s="31" t="n">
        <f aca="false">-Assumptions!B48</f>
        <v>-2500</v>
      </c>
      <c r="O24" s="31" t="n">
        <f aca="false">-Assumptions!B48</f>
        <v>-2500</v>
      </c>
      <c r="P24" s="31" t="n">
        <f aca="false">-Assumptions!B48</f>
        <v>-2500</v>
      </c>
      <c r="Q24" s="31" t="n">
        <f aca="false">-Assumptions!B48</f>
        <v>-2500</v>
      </c>
      <c r="R24" s="31" t="n">
        <f aca="false">-Assumptions!B48</f>
        <v>-2500</v>
      </c>
      <c r="S24" s="31" t="n">
        <f aca="false">-Assumptions!B48</f>
        <v>-2500</v>
      </c>
      <c r="T24" s="31" t="n">
        <f aca="false">-Assumptions!B48</f>
        <v>-2500</v>
      </c>
      <c r="U24" s="31" t="n">
        <f aca="false">-Assumptions!B48</f>
        <v>-2500</v>
      </c>
      <c r="V24" s="31" t="n">
        <f aca="false">-Assumptions!B48</f>
        <v>-2500</v>
      </c>
      <c r="W24" s="31" t="n">
        <f aca="false">-Assumptions!B48</f>
        <v>-2500</v>
      </c>
      <c r="X24" s="31" t="n">
        <f aca="false">-Assumptions!B48</f>
        <v>-2500</v>
      </c>
      <c r="Y24" s="31" t="n">
        <f aca="false">-Assumptions!B48</f>
        <v>-2500</v>
      </c>
      <c r="Z24" s="31" t="n">
        <f aca="false">-Assumptions!B48</f>
        <v>-2500</v>
      </c>
      <c r="AB24" s="31" t="n">
        <f aca="false">-Assumptions!B48</f>
        <v>-2500</v>
      </c>
      <c r="AC24" s="31" t="n">
        <f aca="false">-Assumptions!B48</f>
        <v>-2500</v>
      </c>
      <c r="AD24" s="31" t="n">
        <f aca="false">-Assumptions!B48</f>
        <v>-2500</v>
      </c>
      <c r="AE24" s="31" t="n">
        <f aca="false">-Assumptions!B48</f>
        <v>-2500</v>
      </c>
      <c r="AF24" s="31" t="n">
        <f aca="false">-Assumptions!B48</f>
        <v>-2500</v>
      </c>
      <c r="AG24" s="31" t="n">
        <f aca="false">-Assumptions!B48</f>
        <v>-2500</v>
      </c>
      <c r="AH24" s="31" t="n">
        <f aca="false">-Assumptions!B48</f>
        <v>-2500</v>
      </c>
      <c r="AI24" s="31" t="n">
        <f aca="false">-Assumptions!B48</f>
        <v>-2500</v>
      </c>
      <c r="AJ24" s="31" t="n">
        <f aca="false">-Assumptions!B48</f>
        <v>-2500</v>
      </c>
      <c r="AK24" s="31" t="n">
        <f aca="false">-Assumptions!B48</f>
        <v>-2500</v>
      </c>
      <c r="AL24" s="31" t="n">
        <f aca="false">-Assumptions!B48</f>
        <v>-2500</v>
      </c>
      <c r="AM24" s="31" t="n">
        <f aca="false">-Assumptions!B48</f>
        <v>-2500</v>
      </c>
      <c r="AO24" s="36" t="n">
        <f aca="false">SUM(B24:M24)</f>
        <v>-30000</v>
      </c>
      <c r="AP24" s="36" t="n">
        <f aca="false">SUM(O24:Z24)</f>
        <v>-30000</v>
      </c>
      <c r="AQ24" s="36" t="n">
        <f aca="false">SUM(AB24:AM24)</f>
        <v>-30000</v>
      </c>
    </row>
    <row r="25" customFormat="false" ht="15" hidden="false" customHeight="true" outlineLevel="0" collapsed="false">
      <c r="A25" s="13" t="s">
        <v>193</v>
      </c>
      <c r="B25" s="35" t="n">
        <f aca="false">-'Volume &amp; Funnel'!B6*Assumptions!B51</f>
        <v>-7500</v>
      </c>
      <c r="C25" s="35" t="n">
        <f aca="false">-MAX('Volume &amp; Funnel'!C6-'Volume &amp; Funnel'!B6,0)*Assumptions!B51</f>
        <v>-1411.73077725905</v>
      </c>
      <c r="D25" s="35" t="n">
        <f aca="false">-MAX('Volume &amp; Funnel'!D6-'Volume &amp; Funnel'!C6,0)*Assumptions!B51</f>
        <v>-1677.46194892044</v>
      </c>
      <c r="E25" s="35" t="n">
        <f aca="false">-MAX('Volume &amp; Funnel'!E6-'Volume &amp; Funnel'!D6,0)*Assumptions!B51</f>
        <v>-1993.2119037167</v>
      </c>
      <c r="F25" s="35" t="n">
        <f aca="false">-MAX('Volume &amp; Funnel'!F6-'Volume &amp; Funnel'!E6,0)*Assumptions!B51</f>
        <v>-2368.39571572683</v>
      </c>
      <c r="G25" s="35" t="n">
        <f aca="false">-MAX('Volume &amp; Funnel'!G6-'Volume &amp; Funnel'!F6,0)*Assumptions!B51</f>
        <v>-2814.20066567616</v>
      </c>
      <c r="H25" s="35" t="n">
        <f aca="false">-MAX('Volume &amp; Funnel'!H6-'Volume &amp; Funnel'!G6,0)*Assumptions!B51</f>
        <v>-3343.91982475856</v>
      </c>
      <c r="I25" s="35" t="n">
        <f aca="false">-MAX('Volume &amp; Funnel'!I6-'Volume &amp; Funnel'!H6,0)*Assumptions!B51</f>
        <v>-3973.34842919833</v>
      </c>
      <c r="J25" s="35" t="n">
        <f aca="false">-MAX('Volume &amp; Funnel'!J6-'Volume &amp; Funnel'!I6,0)*Assumptions!B51</f>
        <v>-4721.25486470143</v>
      </c>
      <c r="K25" s="35" t="n">
        <f aca="false">-MAX('Volume &amp; Funnel'!K6-'Volume &amp; Funnel'!J6,0)*Assumptions!B51</f>
        <v>-5609.94030467249</v>
      </c>
      <c r="L25" s="35" t="n">
        <f aca="false">-MAX('Volume &amp; Funnel'!L6-'Volume &amp; Funnel'!K6,0)*Assumptions!B51</f>
        <v>-6665.90368956479</v>
      </c>
      <c r="M25" s="35" t="n">
        <f aca="false">-MAX('Volume &amp; Funnel'!M6-'Volume &amp; Funnel'!L6,0)*Assumptions!B51</f>
        <v>-7920.63187580522</v>
      </c>
      <c r="O25" s="35" t="n">
        <f aca="false">-MAX('Volume &amp; Funnel'!O6-'Volume &amp; Funnel'!M6,0)*Assumptions!B51</f>
        <v>-6123.10241546865</v>
      </c>
      <c r="P25" s="35" t="n">
        <f aca="false">-MAX('Volume &amp; Funnel'!P6-'Volume &amp; Funnel'!O6,0)*Assumptions!B51</f>
        <v>-6872.95007927501</v>
      </c>
      <c r="Q25" s="35" t="n">
        <f aca="false">-MAX('Volume &amp; Funnel'!Q6-'Volume &amp; Funnel'!P6,0)*Assumptions!B51</f>
        <v>-7714.62562391109</v>
      </c>
      <c r="R25" s="35" t="n">
        <f aca="false">-MAX('Volume &amp; Funnel'!R6-'Volume &amp; Funnel'!Q6,0)*Assumptions!B51</f>
        <v>-8659.37447975522</v>
      </c>
      <c r="S25" s="35" t="n">
        <f aca="false">-MAX('Volume &amp; Funnel'!S6-'Volume &amp; Funnel'!R6,0)*Assumptions!B51</f>
        <v>-9719.81921562396</v>
      </c>
      <c r="T25" s="35" t="n">
        <f aca="false">-MAX('Volume &amp; Funnel'!T6-'Volume &amp; Funnel'!S6,0)*Assumptions!B51</f>
        <v>-10910.1281859661</v>
      </c>
      <c r="U25" s="35" t="n">
        <f aca="false">-MAX('Volume &amp; Funnel'!U6-'Volume &amp; Funnel'!T6,0)*Assumptions!B51</f>
        <v>-12246.2048309373</v>
      </c>
      <c r="V25" s="35" t="n">
        <f aca="false">-MAX('Volume &amp; Funnel'!V6-'Volume &amp; Funnel'!U6,0)*Assumptions!B51</f>
        <v>-13745.90015855</v>
      </c>
      <c r="W25" s="35" t="n">
        <f aca="false">-MAX('Volume &amp; Funnel'!W6-'Volume &amp; Funnel'!V6,0)*Assumptions!B51</f>
        <v>-15429.2512478222</v>
      </c>
      <c r="X25" s="35" t="n">
        <f aca="false">-MAX('Volume &amp; Funnel'!X6-'Volume &amp; Funnel'!W6,0)*Assumptions!B51</f>
        <v>-17318.7489595104</v>
      </c>
      <c r="Y25" s="35" t="n">
        <f aca="false">-MAX('Volume &amp; Funnel'!Y6-'Volume &amp; Funnel'!X6,0)*Assumptions!B51</f>
        <v>-19439.6384312479</v>
      </c>
      <c r="Z25" s="35" t="n">
        <f aca="false">-MAX('Volume &amp; Funnel'!Z6-'Volume &amp; Funnel'!Y6,0)*Assumptions!B51</f>
        <v>-21820.2563719321</v>
      </c>
      <c r="AB25" s="35" t="n">
        <f aca="false">-MAX('Volume &amp; Funnel'!AB6-'Volume &amp; Funnel'!Z6,0)*Assumptions!B51</f>
        <v>-11892.6188718591</v>
      </c>
      <c r="AC25" s="35" t="n">
        <f aca="false">-MAX('Volume &amp; Funnel'!AC6-'Volume &amp; Funnel'!AB6,0)*Assumptions!B51</f>
        <v>-12599.7907900156</v>
      </c>
      <c r="AD25" s="35" t="n">
        <f aca="false">-MAX('Volume &amp; Funnel'!AD6-'Volume &amp; Funnel'!AC6,0)*Assumptions!B51</f>
        <v>-13349.0133386696</v>
      </c>
      <c r="AE25" s="35" t="n">
        <f aca="false">-MAX('Volume &amp; Funnel'!AE6-'Volume &amp; Funnel'!AD6,0)*Assumptions!B51</f>
        <v>-14142.7869784305</v>
      </c>
      <c r="AF25" s="35" t="n">
        <f aca="false">-MAX('Volume &amp; Funnel'!AF6-'Volume &amp; Funnel'!AE6,0)*Assumptions!B51</f>
        <v>-14983.7608550322</v>
      </c>
      <c r="AG25" s="35" t="n">
        <f aca="false">-MAX('Volume &amp; Funnel'!AG6-'Volume &amp; Funnel'!AF6,0)*Assumptions!B51</f>
        <v>-15874.7416406122</v>
      </c>
      <c r="AH25" s="35" t="n">
        <f aca="false">-MAX('Volume &amp; Funnel'!AH6-'Volume &amp; Funnel'!AG6,0)*Assumptions!B51</f>
        <v>-16818.7029007173</v>
      </c>
      <c r="AI25" s="35" t="n">
        <f aca="false">-MAX('Volume &amp; Funnel'!AI6-'Volume &amp; Funnel'!AH6,0)*Assumptions!B51</f>
        <v>-17818.7950183036</v>
      </c>
      <c r="AJ25" s="35" t="n">
        <f aca="false">-MAX('Volume &amp; Funnel'!AJ6-'Volume &amp; Funnel'!AI6,0)*Assumptions!B51</f>
        <v>-18878.355707846</v>
      </c>
      <c r="AK25" s="35" t="n">
        <f aca="false">-MAX('Volume &amp; Funnel'!AK6-'Volume &amp; Funnel'!AJ6,0)*Assumptions!B51</f>
        <v>-20000.9211546499</v>
      </c>
      <c r="AL25" s="35" t="n">
        <f aca="false">-MAX('Volume &amp; Funnel'!AL6-'Volume &amp; Funnel'!AK6,0)*Assumptions!B51</f>
        <v>-21190.2378165417</v>
      </c>
      <c r="AM25" s="35" t="n">
        <f aca="false">-MAX('Volume &amp; Funnel'!AM6-'Volume &amp; Funnel'!AL6,0)*Assumptions!B51</f>
        <v>-22450.2749273226</v>
      </c>
      <c r="AO25" s="36" t="n">
        <f aca="false">SUM(B25:M25)</f>
        <v>-50000</v>
      </c>
      <c r="AP25" s="36" t="n">
        <f aca="false">SUM(O25:Z25)</f>
        <v>-150000</v>
      </c>
      <c r="AQ25" s="36" t="n">
        <f aca="false">SUM(AB25:AM25)</f>
        <v>-200000</v>
      </c>
    </row>
    <row r="26" customFormat="false" ht="15" hidden="false" customHeight="true" outlineLevel="0" collapsed="false">
      <c r="A26" s="13" t="s">
        <v>194</v>
      </c>
      <c r="B26" s="31" t="n">
        <f aca="false">-(Assumptions!B50/12)</f>
        <v>-6000</v>
      </c>
      <c r="C26" s="31" t="n">
        <f aca="false">-(Assumptions!B50/12)</f>
        <v>-6000</v>
      </c>
      <c r="D26" s="31" t="n">
        <f aca="false">-(Assumptions!B50/12)</f>
        <v>-6000</v>
      </c>
      <c r="E26" s="31" t="n">
        <f aca="false">-(Assumptions!B50/12)</f>
        <v>-6000</v>
      </c>
      <c r="F26" s="31" t="n">
        <f aca="false">-(Assumptions!B50/12)</f>
        <v>-6000</v>
      </c>
      <c r="G26" s="31" t="n">
        <f aca="false">-(Assumptions!B50/12)</f>
        <v>-6000</v>
      </c>
      <c r="H26" s="31" t="n">
        <f aca="false">-(Assumptions!B50/12)</f>
        <v>-6000</v>
      </c>
      <c r="I26" s="31" t="n">
        <f aca="false">-(Assumptions!B50/12)</f>
        <v>-6000</v>
      </c>
      <c r="J26" s="31" t="n">
        <f aca="false">-(Assumptions!B50/12)</f>
        <v>-6000</v>
      </c>
      <c r="K26" s="31" t="n">
        <f aca="false">-(Assumptions!B50/12)</f>
        <v>-6000</v>
      </c>
      <c r="L26" s="31" t="n">
        <f aca="false">-(Assumptions!B50/12)</f>
        <v>-6000</v>
      </c>
      <c r="M26" s="31" t="n">
        <f aca="false">-(Assumptions!B50/12)</f>
        <v>-6000</v>
      </c>
      <c r="O26" s="31" t="n">
        <f aca="false">-(Assumptions!B50/12)</f>
        <v>-6000</v>
      </c>
      <c r="P26" s="31" t="n">
        <f aca="false">-(Assumptions!B50/12)</f>
        <v>-6000</v>
      </c>
      <c r="Q26" s="31" t="n">
        <f aca="false">-(Assumptions!B50/12)</f>
        <v>-6000</v>
      </c>
      <c r="R26" s="31" t="n">
        <f aca="false">-(Assumptions!B50/12)</f>
        <v>-6000</v>
      </c>
      <c r="S26" s="31" t="n">
        <f aca="false">-(Assumptions!B50/12)</f>
        <v>-6000</v>
      </c>
      <c r="T26" s="31" t="n">
        <f aca="false">-(Assumptions!B50/12)</f>
        <v>-6000</v>
      </c>
      <c r="U26" s="31" t="n">
        <f aca="false">-(Assumptions!B50/12)</f>
        <v>-6000</v>
      </c>
      <c r="V26" s="31" t="n">
        <f aca="false">-(Assumptions!B50/12)</f>
        <v>-6000</v>
      </c>
      <c r="W26" s="31" t="n">
        <f aca="false">-(Assumptions!B50/12)</f>
        <v>-6000</v>
      </c>
      <c r="X26" s="31" t="n">
        <f aca="false">-(Assumptions!B50/12)</f>
        <v>-6000</v>
      </c>
      <c r="Y26" s="31" t="n">
        <f aca="false">-(Assumptions!B50/12)</f>
        <v>-6000</v>
      </c>
      <c r="Z26" s="31" t="n">
        <f aca="false">-(Assumptions!B50/12)</f>
        <v>-6000</v>
      </c>
      <c r="AB26" s="31" t="n">
        <f aca="false">-(Assumptions!B50/12)</f>
        <v>-6000</v>
      </c>
      <c r="AC26" s="31" t="n">
        <f aca="false">-(Assumptions!B50/12)</f>
        <v>-6000</v>
      </c>
      <c r="AD26" s="31" t="n">
        <f aca="false">-(Assumptions!B50/12)</f>
        <v>-6000</v>
      </c>
      <c r="AE26" s="31" t="n">
        <f aca="false">-(Assumptions!B50/12)</f>
        <v>-6000</v>
      </c>
      <c r="AF26" s="31" t="n">
        <f aca="false">-(Assumptions!B50/12)</f>
        <v>-6000</v>
      </c>
      <c r="AG26" s="31" t="n">
        <f aca="false">-(Assumptions!B50/12)</f>
        <v>-6000</v>
      </c>
      <c r="AH26" s="31" t="n">
        <f aca="false">-(Assumptions!B50/12)</f>
        <v>-6000</v>
      </c>
      <c r="AI26" s="31" t="n">
        <f aca="false">-(Assumptions!B50/12)</f>
        <v>-6000</v>
      </c>
      <c r="AJ26" s="31" t="n">
        <f aca="false">-(Assumptions!B50/12)</f>
        <v>-6000</v>
      </c>
      <c r="AK26" s="31" t="n">
        <f aca="false">-(Assumptions!B50/12)</f>
        <v>-6000</v>
      </c>
      <c r="AL26" s="31" t="n">
        <f aca="false">-(Assumptions!B50/12)</f>
        <v>-6000</v>
      </c>
      <c r="AM26" s="31" t="n">
        <f aca="false">-(Assumptions!B50/12)</f>
        <v>-6000</v>
      </c>
      <c r="AO26" s="36" t="n">
        <f aca="false">SUM(B26:M26)</f>
        <v>-72000</v>
      </c>
      <c r="AP26" s="36" t="n">
        <f aca="false">SUM(O26:Z26)</f>
        <v>-72000</v>
      </c>
      <c r="AQ26" s="36" t="n">
        <f aca="false">SUM(AB26:AM26)</f>
        <v>-72000</v>
      </c>
    </row>
    <row r="27" customFormat="false" ht="15" hidden="false" customHeight="true" outlineLevel="0" collapsed="false">
      <c r="A27" s="43" t="s">
        <v>195</v>
      </c>
      <c r="B27" s="31" t="n">
        <f aca="false">IF(Assumptions!B33&gt;0,-Assumptions!B52,0)</f>
        <v>-0</v>
      </c>
      <c r="C27" s="31" t="n">
        <f aca="false">IF(Assumptions!B33&gt;0,-Assumptions!B52,0)</f>
        <v>-0</v>
      </c>
      <c r="D27" s="31" t="n">
        <f aca="false">IF(Assumptions!B33&gt;0,-Assumptions!B52,0)</f>
        <v>-0</v>
      </c>
      <c r="E27" s="31" t="n">
        <f aca="false">IF(Assumptions!B33&gt;0,-Assumptions!B52,0)</f>
        <v>-0</v>
      </c>
      <c r="F27" s="31" t="n">
        <f aca="false">IF(Assumptions!B33&gt;0,-Assumptions!B52,0)</f>
        <v>-0</v>
      </c>
      <c r="G27" s="31" t="n">
        <f aca="false">IF(Assumptions!B33&gt;0,-Assumptions!B52,0)</f>
        <v>-0</v>
      </c>
      <c r="H27" s="31" t="n">
        <f aca="false">IF(Assumptions!B33&gt;0,-Assumptions!B52,0)</f>
        <v>-0</v>
      </c>
      <c r="I27" s="31" t="n">
        <f aca="false">IF(Assumptions!B33&gt;0,-Assumptions!B52,0)</f>
        <v>-0</v>
      </c>
      <c r="J27" s="31" t="n">
        <f aca="false">IF(Assumptions!B33&gt;0,-Assumptions!B52,0)</f>
        <v>-0</v>
      </c>
      <c r="K27" s="31" t="n">
        <f aca="false">IF(Assumptions!B33&gt;0,-Assumptions!B52,0)</f>
        <v>-0</v>
      </c>
      <c r="L27" s="31" t="n">
        <f aca="false">IF(Assumptions!B33&gt;0,-Assumptions!B52,0)</f>
        <v>-0</v>
      </c>
      <c r="M27" s="31" t="n">
        <f aca="false">IF(Assumptions!B33&gt;0,-Assumptions!B52,0)</f>
        <v>-0</v>
      </c>
      <c r="O27" s="31" t="n">
        <f aca="false">IF(Assumptions!C33&gt;0,-Assumptions!B52,0)</f>
        <v>-0</v>
      </c>
      <c r="P27" s="31" t="n">
        <f aca="false">IF(Assumptions!C33&gt;0,-Assumptions!B52,0)</f>
        <v>-0</v>
      </c>
      <c r="Q27" s="31" t="n">
        <f aca="false">IF(Assumptions!C33&gt;0,-Assumptions!B52,0)</f>
        <v>-0</v>
      </c>
      <c r="R27" s="31" t="n">
        <f aca="false">IF(Assumptions!C33&gt;0,-Assumptions!B52,0)</f>
        <v>-0</v>
      </c>
      <c r="S27" s="31" t="n">
        <f aca="false">IF(Assumptions!C33&gt;0,-Assumptions!B52,0)</f>
        <v>-0</v>
      </c>
      <c r="T27" s="31" t="n">
        <f aca="false">IF(Assumptions!C33&gt;0,-Assumptions!B52,0)</f>
        <v>-0</v>
      </c>
      <c r="U27" s="31" t="n">
        <f aca="false">IF(Assumptions!C33&gt;0,-Assumptions!B52,0)</f>
        <v>-0</v>
      </c>
      <c r="V27" s="31" t="n">
        <f aca="false">IF(Assumptions!C33&gt;0,-Assumptions!B52,0)</f>
        <v>-0</v>
      </c>
      <c r="W27" s="31" t="n">
        <f aca="false">IF(Assumptions!C33&gt;0,-Assumptions!B52,0)</f>
        <v>-0</v>
      </c>
      <c r="X27" s="31" t="n">
        <f aca="false">IF(Assumptions!C33&gt;0,-Assumptions!B52,0)</f>
        <v>-0</v>
      </c>
      <c r="Y27" s="31" t="n">
        <f aca="false">IF(Assumptions!C33&gt;0,-Assumptions!B52,0)</f>
        <v>-0</v>
      </c>
      <c r="Z27" s="31" t="n">
        <f aca="false">IF(Assumptions!C33&gt;0,-Assumptions!B52,0)</f>
        <v>-0</v>
      </c>
      <c r="AB27" s="31" t="n">
        <f aca="false">IF(Assumptions!D33&gt;0,-Assumptions!B52,0)</f>
        <v>-0</v>
      </c>
      <c r="AC27" s="31" t="n">
        <f aca="false">IF(Assumptions!D33&gt;0,-Assumptions!B52,0)</f>
        <v>-0</v>
      </c>
      <c r="AD27" s="31" t="n">
        <f aca="false">IF(Assumptions!D33&gt;0,-Assumptions!B52,0)</f>
        <v>-0</v>
      </c>
      <c r="AE27" s="31" t="n">
        <f aca="false">IF(Assumptions!D33&gt;0,-Assumptions!B52,0)</f>
        <v>-0</v>
      </c>
      <c r="AF27" s="31" t="n">
        <f aca="false">IF(Assumptions!D33&gt;0,-Assumptions!B52,0)</f>
        <v>-0</v>
      </c>
      <c r="AG27" s="31" t="n">
        <f aca="false">IF(Assumptions!D33&gt;0,-Assumptions!B52,0)</f>
        <v>-0</v>
      </c>
      <c r="AH27" s="31" t="n">
        <f aca="false">IF(Assumptions!D33&gt;0,-Assumptions!B52,0)</f>
        <v>-0</v>
      </c>
      <c r="AI27" s="31" t="n">
        <f aca="false">IF(Assumptions!D33&gt;0,-Assumptions!B52,0)</f>
        <v>-0</v>
      </c>
      <c r="AJ27" s="31" t="n">
        <f aca="false">IF(Assumptions!D33&gt;0,-Assumptions!B52,0)</f>
        <v>-0</v>
      </c>
      <c r="AK27" s="31" t="n">
        <f aca="false">IF(Assumptions!D33&gt;0,-Assumptions!B52,0)</f>
        <v>-0</v>
      </c>
      <c r="AL27" s="31" t="n">
        <f aca="false">IF(Assumptions!D33&gt;0,-Assumptions!B52,0)</f>
        <v>-0</v>
      </c>
      <c r="AM27" s="31" t="n">
        <f aca="false">IF(Assumptions!D33&gt;0,-Assumptions!B52,0)</f>
        <v>-0</v>
      </c>
      <c r="AO27" s="36" t="n">
        <f aca="false">SUM(B27:M27)</f>
        <v>0</v>
      </c>
      <c r="AP27" s="36" t="n">
        <f aca="false">SUM(O27:Z27)</f>
        <v>0</v>
      </c>
      <c r="AQ27" s="36" t="n">
        <f aca="false">SUM(AB27:AM27)</f>
        <v>0</v>
      </c>
    </row>
    <row r="28" customFormat="false" ht="15" hidden="false" customHeight="true" outlineLevel="0" collapsed="false">
      <c r="A28" s="38" t="s">
        <v>196</v>
      </c>
      <c r="B28" s="44" t="n">
        <f aca="false">SUM(B22:B27)</f>
        <v>-34000</v>
      </c>
      <c r="C28" s="44" t="n">
        <f aca="false">SUM(C22:C27)</f>
        <v>-27911.730777259</v>
      </c>
      <c r="D28" s="44" t="n">
        <f aca="false">SUM(D22:D27)</f>
        <v>-28177.4619489204</v>
      </c>
      <c r="E28" s="44" t="n">
        <f aca="false">SUM(E22:E27)</f>
        <v>-28493.2119037167</v>
      </c>
      <c r="F28" s="44" t="n">
        <f aca="false">SUM(F22:F27)</f>
        <v>-28868.3957157268</v>
      </c>
      <c r="G28" s="44" t="n">
        <f aca="false">SUM(G22:G27)</f>
        <v>-29314.2006656762</v>
      </c>
      <c r="H28" s="44" t="n">
        <f aca="false">SUM(H22:H27)</f>
        <v>-29843.9198247586</v>
      </c>
      <c r="I28" s="44" t="n">
        <f aca="false">SUM(I22:I27)</f>
        <v>-30473.3484291983</v>
      </c>
      <c r="J28" s="44" t="n">
        <f aca="false">SUM(J22:J27)</f>
        <v>-31221.2548647014</v>
      </c>
      <c r="K28" s="44" t="n">
        <f aca="false">SUM(K22:K27)</f>
        <v>-32109.9403046725</v>
      </c>
      <c r="L28" s="44" t="n">
        <f aca="false">SUM(L22:L27)</f>
        <v>-33165.9036895648</v>
      </c>
      <c r="M28" s="44" t="n">
        <f aca="false">SUM(M22:M27)</f>
        <v>-34420.6318758052</v>
      </c>
      <c r="O28" s="44" t="n">
        <f aca="false">SUM(O22:O27)</f>
        <v>-32623.1024154687</v>
      </c>
      <c r="P28" s="44" t="n">
        <f aca="false">SUM(P22:P27)</f>
        <v>-33372.950079275</v>
      </c>
      <c r="Q28" s="44" t="n">
        <f aca="false">SUM(Q22:Q27)</f>
        <v>-34214.6256239111</v>
      </c>
      <c r="R28" s="44" t="n">
        <f aca="false">SUM(R22:R27)</f>
        <v>-35159.3744797552</v>
      </c>
      <c r="S28" s="44" t="n">
        <f aca="false">SUM(S22:S27)</f>
        <v>-36219.819215624</v>
      </c>
      <c r="T28" s="44" t="n">
        <f aca="false">SUM(T22:T27)</f>
        <v>-37410.1281859661</v>
      </c>
      <c r="U28" s="44" t="n">
        <f aca="false">SUM(U22:U27)</f>
        <v>-38746.2048309373</v>
      </c>
      <c r="V28" s="44" t="n">
        <f aca="false">SUM(V22:V27)</f>
        <v>-40245.90015855</v>
      </c>
      <c r="W28" s="44" t="n">
        <f aca="false">SUM(W22:W27)</f>
        <v>-41929.2512478222</v>
      </c>
      <c r="X28" s="44" t="n">
        <f aca="false">SUM(X22:X27)</f>
        <v>-43818.7489595104</v>
      </c>
      <c r="Y28" s="44" t="n">
        <f aca="false">SUM(Y22:Y27)</f>
        <v>-45939.6384312479</v>
      </c>
      <c r="Z28" s="44" t="n">
        <f aca="false">SUM(Z22:Z27)</f>
        <v>-48320.2563719321</v>
      </c>
      <c r="AB28" s="44" t="n">
        <f aca="false">SUM(AB22:AB27)</f>
        <v>-38392.6188718591</v>
      </c>
      <c r="AC28" s="44" t="n">
        <f aca="false">SUM(AC22:AC27)</f>
        <v>-39099.7907900156</v>
      </c>
      <c r="AD28" s="44" t="n">
        <f aca="false">SUM(AD22:AD27)</f>
        <v>-39849.0133386696</v>
      </c>
      <c r="AE28" s="44" t="n">
        <f aca="false">SUM(AE22:AE27)</f>
        <v>-40642.7869784305</v>
      </c>
      <c r="AF28" s="44" t="n">
        <f aca="false">SUM(AF22:AF27)</f>
        <v>-41483.7608550323</v>
      </c>
      <c r="AG28" s="44" t="n">
        <f aca="false">SUM(AG22:AG27)</f>
        <v>-42374.7416406122</v>
      </c>
      <c r="AH28" s="44" t="n">
        <f aca="false">SUM(AH22:AH27)</f>
        <v>-43318.7029007173</v>
      </c>
      <c r="AI28" s="44" t="n">
        <f aca="false">SUM(AI22:AI27)</f>
        <v>-44318.7950183036</v>
      </c>
      <c r="AJ28" s="44" t="n">
        <f aca="false">SUM(AJ22:AJ27)</f>
        <v>-45378.355707846</v>
      </c>
      <c r="AK28" s="44" t="n">
        <f aca="false">SUM(AK22:AK27)</f>
        <v>-46500.9211546499</v>
      </c>
      <c r="AL28" s="44" t="n">
        <f aca="false">SUM(AL22:AL27)</f>
        <v>-47690.2378165417</v>
      </c>
      <c r="AM28" s="44" t="n">
        <f aca="false">SUM(AM22:AM27)</f>
        <v>-48950.2749273226</v>
      </c>
      <c r="AO28" s="44" t="n">
        <f aca="false">SUM(B28:M28)</f>
        <v>-368000</v>
      </c>
      <c r="AP28" s="44" t="n">
        <f aca="false">SUM(O28:Z28)</f>
        <v>-468000</v>
      </c>
      <c r="AQ28" s="44" t="n">
        <f aca="false">SUM(AB28:AM28)</f>
        <v>-518000</v>
      </c>
    </row>
    <row r="29" customFormat="false" ht="15" hidden="false" customHeight="true" outlineLevel="0" collapsed="false"/>
    <row r="30" customFormat="false" ht="15" hidden="false" customHeight="true" outlineLevel="0" collapsed="false">
      <c r="A30" s="40" t="s">
        <v>197</v>
      </c>
      <c r="B30" s="41" t="n">
        <f aca="false">B18+B28</f>
        <v>-47786.6</v>
      </c>
      <c r="C30" s="41" t="n">
        <f aca="false">C18+C28</f>
        <v>-41118.0723100687</v>
      </c>
      <c r="D30" s="41" t="n">
        <f aca="false">D18+D28</f>
        <v>-40708.3702696901</v>
      </c>
      <c r="E30" s="41" t="n">
        <f aca="false">E18+E28</f>
        <v>-40222.8990442698</v>
      </c>
      <c r="F30" s="41" t="n">
        <f aca="false">F18+F28</f>
        <v>-39641.3322724082</v>
      </c>
      <c r="G30" s="41" t="n">
        <f aca="false">G18+G28</f>
        <v>-38954.1399537215</v>
      </c>
      <c r="H30" s="41" t="n">
        <f aca="false">H18+H28</f>
        <v>-38131.4395561739</v>
      </c>
      <c r="I30" s="41" t="n">
        <f aca="false">I18+I28</f>
        <v>-37160.3308664581</v>
      </c>
      <c r="J30" s="41" t="n">
        <f aca="false">J18+J28</f>
        <v>-36005.9738772114</v>
      </c>
      <c r="K30" s="41" t="n">
        <f aca="false">K18+K28</f>
        <v>-34632.361342693</v>
      </c>
      <c r="L30" s="41" t="n">
        <f aca="false">L18+L28</f>
        <v>-33003.3285301317</v>
      </c>
      <c r="M30" s="41" t="n">
        <f aca="false">M18+M28</f>
        <v>-31062.0318758052</v>
      </c>
      <c r="O30" s="41" t="n">
        <f aca="false">O18+O28</f>
        <v>-35580.039277295</v>
      </c>
      <c r="P30" s="41" t="n">
        <f aca="false">P18+P28</f>
        <v>-32576.5712643632</v>
      </c>
      <c r="Q30" s="41" t="n">
        <f aca="false">Q18+Q28</f>
        <v>-29203.7892050533</v>
      </c>
      <c r="R30" s="41" t="n">
        <f aca="false">R18+R28</f>
        <v>-25418.7635644944</v>
      </c>
      <c r="S30" s="41" t="n">
        <f aca="false">S18+S28</f>
        <v>-21171.4232996391</v>
      </c>
      <c r="T30" s="41" t="n">
        <f aca="false">T18+T28</f>
        <v>-16408.7281859661</v>
      </c>
      <c r="U30" s="41" t="n">
        <f aca="false">U18+U28</f>
        <v>-11057.37855459</v>
      </c>
      <c r="V30" s="41" t="n">
        <f aca="false">V18+V28</f>
        <v>-5050.14252872631</v>
      </c>
      <c r="W30" s="41" t="n">
        <f aca="false">W18+W28</f>
        <v>1695.22158989339</v>
      </c>
      <c r="X30" s="41" t="n">
        <f aca="false">X18+X28</f>
        <v>9261.27287101126</v>
      </c>
      <c r="Y30" s="41" t="n">
        <f aca="false">Y18+Y28</f>
        <v>17748.6534007218</v>
      </c>
      <c r="Z30" s="41" t="n">
        <f aca="false">Z18+Z28</f>
        <v>27291.5436280679</v>
      </c>
      <c r="AB30" s="41" t="n">
        <f aca="false">AB18+AB28</f>
        <v>48190.5875782713</v>
      </c>
      <c r="AC30" s="41" t="n">
        <f aca="false">AC18+AC28</f>
        <v>56289.257913414</v>
      </c>
      <c r="AD30" s="41" t="n">
        <f aca="false">AD18+AD28</f>
        <v>64878.6197980009</v>
      </c>
      <c r="AE30" s="41" t="n">
        <f aca="false">AE18+AE28</f>
        <v>73980.5597156664</v>
      </c>
      <c r="AF30" s="41" t="n">
        <f aca="false">AF18+AF28</f>
        <v>83604.8792124643</v>
      </c>
      <c r="AG30" s="41" t="n">
        <f aca="false">AG18+AG28</f>
        <v>93815.7801281186</v>
      </c>
      <c r="AH30" s="41" t="n">
        <f aca="false">AH18+AH28</f>
        <v>104641.360841697</v>
      </c>
      <c r="AI30" s="41" t="n">
        <f aca="false">AI18+AI28</f>
        <v>116105.124186661</v>
      </c>
      <c r="AJ30" s="41" t="n">
        <f aca="false">AJ18+AJ28</f>
        <v>128235.197729185</v>
      </c>
      <c r="AK30" s="41" t="n">
        <f aca="false">AK18+AK28</f>
        <v>141104.36714491</v>
      </c>
      <c r="AL30" s="41" t="n">
        <f aca="false">AL18+AL28</f>
        <v>154677.762183458</v>
      </c>
      <c r="AM30" s="41" t="n">
        <f aca="false">AM18+AM28</f>
        <v>153417.725072677</v>
      </c>
      <c r="AO30" s="41" t="n">
        <f aca="false">SUM(B30:M30)</f>
        <v>-458426.879898632</v>
      </c>
      <c r="AP30" s="41" t="n">
        <f aca="false">SUM(O30:Z30)</f>
        <v>-120470.144390433</v>
      </c>
      <c r="AQ30" s="41" t="n">
        <f aca="false">SUM(AB30:AM30)</f>
        <v>1218941.22150452</v>
      </c>
    </row>
    <row r="31" customFormat="false" ht="15" hidden="false" customHeight="true" outlineLevel="0" collapsed="false">
      <c r="A31" s="11" t="s">
        <v>198</v>
      </c>
      <c r="B31" s="45" t="n">
        <f aca="false">IFERROR(B30/B10,0)</f>
        <v>-9.69931801575059</v>
      </c>
      <c r="C31" s="45" t="n">
        <f aca="false">IFERROR(C30/C10,0)</f>
        <v>-7.01690536389074</v>
      </c>
      <c r="D31" s="45" t="n">
        <f aca="false">IFERROR(D30/D10,0)</f>
        <v>-5.84882673186161</v>
      </c>
      <c r="E31" s="45" t="n">
        <f aca="false">IFERROR(E30/E10,0)</f>
        <v>-4.86329288996252</v>
      </c>
      <c r="F31" s="45" t="n">
        <f aca="false">IFERROR(F30/F10,0)</f>
        <v>-4.03176059113286</v>
      </c>
      <c r="G31" s="45" t="n">
        <f aca="false">IFERROR(G30/G10,0)</f>
        <v>-3.33515449493769</v>
      </c>
      <c r="H31" s="45" t="n">
        <f aca="false">IFERROR(H30/H10,0)</f>
        <v>-2.74684976519119</v>
      </c>
      <c r="I31" s="45" t="n">
        <f aca="false">IFERROR(I30/I10,0)</f>
        <v>-2.25369596481091</v>
      </c>
      <c r="J31" s="45" t="n">
        <f aca="false">IFERROR(J30/J10,0)</f>
        <v>-1.83783828798867</v>
      </c>
      <c r="K31" s="45" t="n">
        <f aca="false">IFERROR(K30/K10,0)</f>
        <v>-1.48745404955469</v>
      </c>
      <c r="L31" s="45" t="n">
        <f aca="false">IFERROR(L30/L10,0)</f>
        <v>-1.19302470269747</v>
      </c>
      <c r="M31" s="45" t="n">
        <f aca="false">IFERROR(M30/M10,0)</f>
        <v>-0.944938910799624</v>
      </c>
      <c r="O31" s="45" t="n">
        <f aca="false">IFERROR(O30/O10,0)</f>
        <v>-0.707851112207123</v>
      </c>
      <c r="P31" s="45" t="n">
        <f aca="false">IFERROR(P30/P10,0)</f>
        <v>-0.5774003888138</v>
      </c>
      <c r="Q31" s="45" t="n">
        <f aca="false">IFERROR(Q30/Q10,0)</f>
        <v>-0.461095693614252</v>
      </c>
      <c r="R31" s="45" t="n">
        <f aca="false">IFERROR(R30/R10,0)</f>
        <v>-0.357533316950395</v>
      </c>
      <c r="S31" s="45" t="n">
        <f aca="false">IFERROR(S30/S10,0)</f>
        <v>-0.265320699176557</v>
      </c>
      <c r="T31" s="45" t="n">
        <f aca="false">IFERROR(T30/T10,0)</f>
        <v>-0.183201827760925</v>
      </c>
      <c r="U31" s="45" t="n">
        <f aca="false">IFERROR(U30/U10,0)</f>
        <v>-0.109988179576957</v>
      </c>
      <c r="V31" s="45" t="n">
        <f aca="false">IFERROR(V30/V10,0)</f>
        <v>-0.0447506302553319</v>
      </c>
      <c r="W31" s="45" t="n">
        <f aca="false">IFERROR(W30/W10,0)</f>
        <v>0.0133836869355599</v>
      </c>
      <c r="X31" s="45" t="n">
        <f aca="false">IFERROR(X30/X10,0)</f>
        <v>0.0651387521592594</v>
      </c>
      <c r="Y31" s="45" t="n">
        <f aca="false">IFERROR(Y30/Y10,0)</f>
        <v>0.111217908438182</v>
      </c>
      <c r="Z31" s="45" t="n">
        <f aca="false">IFERROR(Z30/Z10,0)</f>
        <v>0.152353693059383</v>
      </c>
      <c r="AB31" s="45" t="n">
        <f aca="false">IFERROR(AB30/AB10,0)</f>
        <v>0.201111362679113</v>
      </c>
      <c r="AC31" s="45" t="n">
        <f aca="false">IFERROR(AC30/AC10,0)</f>
        <v>0.221727485100553</v>
      </c>
      <c r="AD31" s="45" t="n">
        <f aca="false">IFERROR(AD30/AD10,0)</f>
        <v>0.241217071026973</v>
      </c>
      <c r="AE31" s="45" t="n">
        <f aca="false">IFERROR(AE30/AE10,0)</f>
        <v>0.259616121884361</v>
      </c>
      <c r="AF31" s="45" t="n">
        <f aca="false">IFERROR(AF30/AF10,0)</f>
        <v>0.27692460708405</v>
      </c>
      <c r="AG31" s="45" t="n">
        <f aca="false">IFERROR(AG30/AG10,0)</f>
        <v>0.293306555872561</v>
      </c>
      <c r="AH31" s="45" t="n">
        <f aca="false">IFERROR(AH30/AH10,0)</f>
        <v>0.308786556268123</v>
      </c>
      <c r="AI31" s="45" t="n">
        <f aca="false">IFERROR(AI30/AI10,0)</f>
        <v>0.323387992991079</v>
      </c>
      <c r="AJ31" s="45" t="n">
        <f aca="false">IFERROR(AJ30/AJ10,0)</f>
        <v>0.337128749992508</v>
      </c>
      <c r="AK31" s="45" t="n">
        <f aca="false">IFERROR(AK30/AK10,0)</f>
        <v>0.350141953825188</v>
      </c>
      <c r="AL31" s="45" t="n">
        <f aca="false">IFERROR(AL30/AL10,0)</f>
        <v>0.362362658825182</v>
      </c>
      <c r="AM31" s="45" t="n">
        <f aca="false">IFERROR(AM30/AM10,0)</f>
        <v>0.359410777499543</v>
      </c>
      <c r="AO31" s="45" t="n">
        <f aca="false">IFERROR(AO30/AO10,0)</f>
        <v>-2.52841308384954</v>
      </c>
      <c r="AP31" s="45" t="n">
        <f aca="false">IFERROR(AP30/AP10,0)</f>
        <v>-0.0978304190373422</v>
      </c>
      <c r="AQ31" s="45" t="n">
        <f aca="false">IFERROR(AQ30/AQ10,0)</f>
        <v>0.304418343360431</v>
      </c>
    </row>
    <row r="32" customFormat="false" ht="15" hidden="false" customHeight="true" outlineLevel="0" collapsed="false">
      <c r="A32" s="11" t="s">
        <v>199</v>
      </c>
      <c r="B32" s="46" t="n">
        <f aca="false">B30</f>
        <v>-47786.6</v>
      </c>
      <c r="C32" s="46" t="n">
        <f aca="false">B32+C30</f>
        <v>-88904.6723100687</v>
      </c>
      <c r="D32" s="46" t="n">
        <f aca="false">C32+D30</f>
        <v>-129613.042579759</v>
      </c>
      <c r="E32" s="46" t="n">
        <f aca="false">D32+E30</f>
        <v>-169835.941624029</v>
      </c>
      <c r="F32" s="46" t="n">
        <f aca="false">E32+F30</f>
        <v>-209477.273896437</v>
      </c>
      <c r="G32" s="46" t="n">
        <f aca="false">F32+G30</f>
        <v>-248431.413850158</v>
      </c>
      <c r="H32" s="46" t="n">
        <f aca="false">G32+H30</f>
        <v>-286562.853406332</v>
      </c>
      <c r="I32" s="46" t="n">
        <f aca="false">H32+I30</f>
        <v>-323723.18427279</v>
      </c>
      <c r="J32" s="46" t="n">
        <f aca="false">I32+J30</f>
        <v>-359729.158150002</v>
      </c>
      <c r="K32" s="46" t="n">
        <f aca="false">J32+K30</f>
        <v>-394361.519492695</v>
      </c>
      <c r="L32" s="46" t="n">
        <f aca="false">K32+L30</f>
        <v>-427364.848022826</v>
      </c>
      <c r="M32" s="46" t="n">
        <f aca="false">L32+M30</f>
        <v>-458426.879898632</v>
      </c>
      <c r="O32" s="46" t="n">
        <f aca="false">M32+O30</f>
        <v>-494006.919175927</v>
      </c>
      <c r="P32" s="46" t="n">
        <f aca="false">O32+P30</f>
        <v>-526583.49044029</v>
      </c>
      <c r="Q32" s="46" t="n">
        <f aca="false">P32+Q30</f>
        <v>-555787.279645343</v>
      </c>
      <c r="R32" s="46" t="n">
        <f aca="false">Q32+R30</f>
        <v>-581206.043209837</v>
      </c>
      <c r="S32" s="46" t="n">
        <f aca="false">R32+S30</f>
        <v>-602377.466509477</v>
      </c>
      <c r="T32" s="46" t="n">
        <f aca="false">S32+T30</f>
        <v>-618786.194695443</v>
      </c>
      <c r="U32" s="46" t="n">
        <f aca="false">T32+U30</f>
        <v>-629843.573250033</v>
      </c>
      <c r="V32" s="46" t="n">
        <f aca="false">U32+V30</f>
        <v>-634893.715778759</v>
      </c>
      <c r="W32" s="46" t="n">
        <f aca="false">V32+W30</f>
        <v>-633198.494188866</v>
      </c>
      <c r="X32" s="46" t="n">
        <f aca="false">W32+X30</f>
        <v>-623937.221317854</v>
      </c>
      <c r="Y32" s="46" t="n">
        <f aca="false">X32+Y30</f>
        <v>-606188.567917133</v>
      </c>
      <c r="Z32" s="46" t="n">
        <f aca="false">Y32+Z30</f>
        <v>-578897.024289065</v>
      </c>
      <c r="AB32" s="46" t="n">
        <f aca="false">Z32+AB30</f>
        <v>-530706.436710794</v>
      </c>
      <c r="AC32" s="46" t="n">
        <f aca="false">AB32+AC30</f>
        <v>-474417.17879738</v>
      </c>
      <c r="AD32" s="46" t="n">
        <f aca="false">AC32+AD30</f>
        <v>-409538.558999379</v>
      </c>
      <c r="AE32" s="46" t="n">
        <f aca="false">AD32+AE30</f>
        <v>-335557.999283712</v>
      </c>
      <c r="AF32" s="46" t="n">
        <f aca="false">AE32+AF30</f>
        <v>-251953.120071248</v>
      </c>
      <c r="AG32" s="46" t="n">
        <f aca="false">AF32+AG30</f>
        <v>-158137.339943129</v>
      </c>
      <c r="AH32" s="46" t="n">
        <f aca="false">AG32+AH30</f>
        <v>-53495.9791014321</v>
      </c>
      <c r="AI32" s="46" t="n">
        <f aca="false">AH32+AI30</f>
        <v>62609.1450852289</v>
      </c>
      <c r="AJ32" s="46" t="n">
        <f aca="false">AI32+AJ30</f>
        <v>190844.342814414</v>
      </c>
      <c r="AK32" s="46" t="n">
        <f aca="false">AJ32+AK30</f>
        <v>331948.709959323</v>
      </c>
      <c r="AL32" s="46" t="n">
        <f aca="false">AK32+AL30</f>
        <v>486626.472142782</v>
      </c>
      <c r="AM32" s="46" t="n">
        <f aca="false">AL32+AM30</f>
        <v>640044.197215459</v>
      </c>
      <c r="AO32" s="13"/>
      <c r="AP32" s="13"/>
      <c r="AQ32" s="13"/>
    </row>
    <row r="33" customFormat="false" ht="15" hidden="false" customHeight="true" outlineLevel="0" collapsed="false">
      <c r="A33" s="11" t="s">
        <v>200</v>
      </c>
      <c r="B33" s="47" t="n">
        <f aca="false">IF(B30&gt;0,1,0)</f>
        <v>0</v>
      </c>
      <c r="C33" s="47" t="n">
        <f aca="false">IF(C30&gt;0,1,0)</f>
        <v>0</v>
      </c>
      <c r="D33" s="47" t="n">
        <f aca="false">IF(D30&gt;0,1,0)</f>
        <v>0</v>
      </c>
      <c r="E33" s="47" t="n">
        <f aca="false">IF(E30&gt;0,1,0)</f>
        <v>0</v>
      </c>
      <c r="F33" s="47" t="n">
        <f aca="false">IF(F30&gt;0,1,0)</f>
        <v>0</v>
      </c>
      <c r="G33" s="47" t="n">
        <f aca="false">IF(G30&gt;0,1,0)</f>
        <v>0</v>
      </c>
      <c r="H33" s="47" t="n">
        <f aca="false">IF(H30&gt;0,1,0)</f>
        <v>0</v>
      </c>
      <c r="I33" s="47" t="n">
        <f aca="false">IF(I30&gt;0,1,0)</f>
        <v>0</v>
      </c>
      <c r="J33" s="47" t="n">
        <f aca="false">IF(J30&gt;0,1,0)</f>
        <v>0</v>
      </c>
      <c r="K33" s="47" t="n">
        <f aca="false">IF(K30&gt;0,1,0)</f>
        <v>0</v>
      </c>
      <c r="L33" s="47" t="n">
        <f aca="false">IF(L30&gt;0,1,0)</f>
        <v>0</v>
      </c>
      <c r="M33" s="47" t="n">
        <f aca="false">IF(M30&gt;0,1,0)</f>
        <v>0</v>
      </c>
      <c r="O33" s="47" t="n">
        <f aca="false">IF(O30&gt;0,1,0)</f>
        <v>0</v>
      </c>
      <c r="P33" s="47" t="n">
        <f aca="false">IF(P30&gt;0,1,0)</f>
        <v>0</v>
      </c>
      <c r="Q33" s="47" t="n">
        <f aca="false">IF(Q30&gt;0,1,0)</f>
        <v>0</v>
      </c>
      <c r="R33" s="47" t="n">
        <f aca="false">IF(R30&gt;0,1,0)</f>
        <v>0</v>
      </c>
      <c r="S33" s="47" t="n">
        <f aca="false">IF(S30&gt;0,1,0)</f>
        <v>0</v>
      </c>
      <c r="T33" s="47" t="n">
        <f aca="false">IF(T30&gt;0,1,0)</f>
        <v>0</v>
      </c>
      <c r="U33" s="47" t="n">
        <f aca="false">IF(U30&gt;0,1,0)</f>
        <v>0</v>
      </c>
      <c r="V33" s="47" t="n">
        <f aca="false">IF(V30&gt;0,1,0)</f>
        <v>0</v>
      </c>
      <c r="W33" s="47" t="n">
        <f aca="false">IF(W30&gt;0,1,0)</f>
        <v>1</v>
      </c>
      <c r="X33" s="47" t="n">
        <f aca="false">IF(X30&gt;0,1,0)</f>
        <v>1</v>
      </c>
      <c r="Y33" s="47" t="n">
        <f aca="false">IF(Y30&gt;0,1,0)</f>
        <v>1</v>
      </c>
      <c r="Z33" s="47" t="n">
        <f aca="false">IF(Z30&gt;0,1,0)</f>
        <v>1</v>
      </c>
      <c r="AB33" s="47" t="n">
        <f aca="false">IF(AB30&gt;0,1,0)</f>
        <v>1</v>
      </c>
      <c r="AC33" s="47" t="n">
        <f aca="false">IF(AC30&gt;0,1,0)</f>
        <v>1</v>
      </c>
      <c r="AD33" s="47" t="n">
        <f aca="false">IF(AD30&gt;0,1,0)</f>
        <v>1</v>
      </c>
      <c r="AE33" s="47" t="n">
        <f aca="false">IF(AE30&gt;0,1,0)</f>
        <v>1</v>
      </c>
      <c r="AF33" s="47" t="n">
        <f aca="false">IF(AF30&gt;0,1,0)</f>
        <v>1</v>
      </c>
      <c r="AG33" s="47" t="n">
        <f aca="false">IF(AG30&gt;0,1,0)</f>
        <v>1</v>
      </c>
      <c r="AH33" s="47" t="n">
        <f aca="false">IF(AH30&gt;0,1,0)</f>
        <v>1</v>
      </c>
      <c r="AI33" s="47" t="n">
        <f aca="false">IF(AI30&gt;0,1,0)</f>
        <v>1</v>
      </c>
      <c r="AJ33" s="47" t="n">
        <f aca="false">IF(AJ30&gt;0,1,0)</f>
        <v>1</v>
      </c>
      <c r="AK33" s="47" t="n">
        <f aca="false">IF(AK30&gt;0,1,0)</f>
        <v>1</v>
      </c>
      <c r="AL33" s="47" t="n">
        <f aca="false">IF(AL30&gt;0,1,0)</f>
        <v>1</v>
      </c>
      <c r="AM33" s="47" t="n">
        <f aca="false">IF(AM30&gt;0,1,0)</f>
        <v>1</v>
      </c>
      <c r="AO33" s="13"/>
      <c r="AP33" s="13"/>
      <c r="AQ33" s="13"/>
    </row>
  </sheetData>
  <mergeCells count="8">
    <mergeCell ref="A1:AQ1"/>
    <mergeCell ref="A2:AQ2"/>
    <mergeCell ref="B3:M3"/>
    <mergeCell ref="O3:Z3"/>
    <mergeCell ref="AB3:AM3"/>
    <mergeCell ref="A5:AQ5"/>
    <mergeCell ref="A12:AQ12"/>
    <mergeCell ref="A21:AQ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16" activeCellId="0" sqref="B16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8"/>
    <col collapsed="false" customWidth="true" hidden="false" outlineLevel="0" max="6" min="6" style="0" width="20"/>
  </cols>
  <sheetData>
    <row r="1" customFormat="false" ht="25.5" hidden="false" customHeight="true" outlineLevel="0" collapsed="false">
      <c r="A1" s="10" t="s">
        <v>201</v>
      </c>
      <c r="B1" s="10"/>
      <c r="C1" s="10"/>
      <c r="D1" s="10"/>
      <c r="E1" s="10"/>
      <c r="F1" s="10"/>
    </row>
    <row r="2" customFormat="false" ht="18" hidden="false" customHeight="true" outlineLevel="0" collapsed="false">
      <c r="A2" s="11" t="s">
        <v>202</v>
      </c>
      <c r="B2" s="11"/>
      <c r="C2" s="11"/>
      <c r="D2" s="11"/>
      <c r="E2" s="11"/>
      <c r="F2" s="11"/>
    </row>
    <row r="4" customFormat="false" ht="15" hidden="false" customHeight="true" outlineLevel="0" collapsed="false">
      <c r="A4" s="12" t="s">
        <v>203</v>
      </c>
      <c r="B4" s="12"/>
      <c r="C4" s="12"/>
      <c r="D4" s="12"/>
      <c r="E4" s="12"/>
      <c r="F4" s="12"/>
    </row>
    <row r="5" customFormat="false" ht="15" hidden="false" customHeight="true" outlineLevel="0" collapsed="false">
      <c r="A5" s="48" t="s">
        <v>204</v>
      </c>
      <c r="B5" s="49" t="s">
        <v>205</v>
      </c>
      <c r="C5" s="49" t="s">
        <v>206</v>
      </c>
      <c r="D5" s="49" t="s">
        <v>207</v>
      </c>
      <c r="E5" s="49" t="s">
        <v>208</v>
      </c>
      <c r="F5" s="49" t="s">
        <v>209</v>
      </c>
    </row>
    <row r="6" customFormat="false" ht="15" hidden="false" customHeight="true" outlineLevel="0" collapsed="false">
      <c r="A6" s="13" t="s">
        <v>210</v>
      </c>
      <c r="B6" s="50" t="n">
        <f aca="false">'Monthly P&amp;L'!AO6</f>
        <v>114372</v>
      </c>
      <c r="C6" s="50" t="n">
        <f aca="false">'Monthly P&amp;L'!AP6</f>
        <v>783990</v>
      </c>
      <c r="D6" s="50" t="n">
        <f aca="false">'Monthly P&amp;L'!AQ6</f>
        <v>2569770</v>
      </c>
      <c r="E6" s="50" t="n">
        <f aca="false">B6+C6+D6</f>
        <v>3468132</v>
      </c>
      <c r="F6" s="45" t="n">
        <f aca="false">IFERROR(E6/E10,0)</f>
        <v>0.640243771066326</v>
      </c>
    </row>
    <row r="7" customFormat="false" ht="15" hidden="false" customHeight="true" outlineLevel="0" collapsed="false">
      <c r="A7" s="13" t="s">
        <v>211</v>
      </c>
      <c r="B7" s="50" t="n">
        <f aca="false">'Monthly P&amp;L'!AO7</f>
        <v>54365.8201013685</v>
      </c>
      <c r="C7" s="50" t="n">
        <f aca="false">'Monthly P&amp;L'!AP7</f>
        <v>372663.455609567</v>
      </c>
      <c r="D7" s="50" t="n">
        <f aca="false">'Monthly P&amp;L'!AQ7</f>
        <v>1221447.42150452</v>
      </c>
      <c r="E7" s="50" t="n">
        <f aca="false">B7+C7+D7</f>
        <v>1648476.69721546</v>
      </c>
      <c r="F7" s="45" t="n">
        <f aca="false">IFERROR(E7/E10,0)</f>
        <v>0.304321443687895</v>
      </c>
    </row>
    <row r="8" customFormat="false" ht="15" hidden="false" customHeight="true" outlineLevel="0" collapsed="false">
      <c r="A8" s="13" t="s">
        <v>212</v>
      </c>
      <c r="B8" s="50" t="n">
        <f aca="false">'Monthly P&amp;L'!AO8</f>
        <v>8340.3</v>
      </c>
      <c r="C8" s="50" t="n">
        <f aca="false">'Monthly P&amp;L'!AP8</f>
        <v>45732.6</v>
      </c>
      <c r="D8" s="50" t="n">
        <f aca="false">'Monthly P&amp;L'!AQ8</f>
        <v>117779.4</v>
      </c>
      <c r="E8" s="50" t="n">
        <f aca="false">B8+C8+D8</f>
        <v>171852.3</v>
      </c>
      <c r="F8" s="45" t="n">
        <f aca="false">IFERROR(E8/E10,0)</f>
        <v>0.0317252528503591</v>
      </c>
    </row>
    <row r="9" customFormat="false" ht="15" hidden="false" customHeight="true" outlineLevel="0" collapsed="false">
      <c r="A9" s="13" t="s">
        <v>213</v>
      </c>
      <c r="B9" s="50" t="n">
        <f aca="false">'Monthly P&amp;L'!AO9</f>
        <v>4232</v>
      </c>
      <c r="C9" s="50" t="n">
        <f aca="false">'Monthly P&amp;L'!AP9</f>
        <v>29032</v>
      </c>
      <c r="D9" s="50" t="n">
        <f aca="false">'Monthly P&amp;L'!AQ9</f>
        <v>95168</v>
      </c>
      <c r="E9" s="50" t="n">
        <f aca="false">B9+C9+D9</f>
        <v>128432</v>
      </c>
      <c r="F9" s="45" t="n">
        <f aca="false">IFERROR(E9/E10,0)</f>
        <v>0.0237095323954193</v>
      </c>
    </row>
    <row r="10" customFormat="false" ht="15" hidden="false" customHeight="true" outlineLevel="0" collapsed="false">
      <c r="A10" s="51" t="s">
        <v>181</v>
      </c>
      <c r="B10" s="44" t="n">
        <f aca="false">'Monthly P&amp;L'!AO10</f>
        <v>181310.120101368</v>
      </c>
      <c r="C10" s="44" t="n">
        <f aca="false">'Monthly P&amp;L'!AP10</f>
        <v>1231418.05560957</v>
      </c>
      <c r="D10" s="44" t="n">
        <f aca="false">'Monthly P&amp;L'!AQ10</f>
        <v>4004164.82150452</v>
      </c>
      <c r="E10" s="44" t="n">
        <f aca="false">B10+C10+D10</f>
        <v>5416892.99721546</v>
      </c>
      <c r="F10" s="52"/>
    </row>
    <row r="11" customFormat="false" ht="15" hidden="false" customHeight="true" outlineLevel="0" collapsed="false">
      <c r="A11" s="13" t="s">
        <v>214</v>
      </c>
      <c r="B11" s="50" t="n">
        <f aca="false">'Monthly P&amp;L'!AO13+'Monthly P&amp;L'!AO14+'Monthly P&amp;L'!AO15</f>
        <v>-271737</v>
      </c>
      <c r="C11" s="50" t="n">
        <f aca="false">'Monthly P&amp;L'!AP13+'Monthly P&amp;L'!AP14+'Monthly P&amp;L'!AP15</f>
        <v>-883888.2</v>
      </c>
      <c r="D11" s="50" t="n">
        <f aca="false">'Monthly P&amp;L'!AQ13+'Monthly P&amp;L'!AQ14+'Monthly P&amp;L'!AQ15</f>
        <v>-2267223.6</v>
      </c>
      <c r="E11" s="50" t="n">
        <f aca="false">B11+C11+D11</f>
        <v>-3422848.8</v>
      </c>
      <c r="F11" s="45" t="n">
        <f aca="false">IFERROR(E11/E10,0)</f>
        <v>-0.631884144981174</v>
      </c>
    </row>
    <row r="12" customFormat="false" ht="15" hidden="false" customHeight="true" outlineLevel="0" collapsed="false">
      <c r="A12" s="51" t="s">
        <v>187</v>
      </c>
      <c r="B12" s="44" t="n">
        <f aca="false">'Monthly P&amp;L'!AO18</f>
        <v>-90426.8798986315</v>
      </c>
      <c r="C12" s="44" t="n">
        <f aca="false">'Monthly P&amp;L'!AP18</f>
        <v>347529.855609567</v>
      </c>
      <c r="D12" s="44" t="n">
        <f aca="false">'Monthly P&amp;L'!AQ18</f>
        <v>1736941.22150452</v>
      </c>
      <c r="E12" s="44" t="n">
        <f aca="false">B12+C12+D12</f>
        <v>1994044.19721546</v>
      </c>
      <c r="F12" s="45" t="n">
        <f aca="false">IFERROR(E12/E10,0)</f>
        <v>0.368115855018826</v>
      </c>
    </row>
    <row r="13" customFormat="false" ht="15" hidden="false" customHeight="true" outlineLevel="0" collapsed="false">
      <c r="A13" s="53" t="s">
        <v>188</v>
      </c>
      <c r="B13" s="45" t="n">
        <f aca="false">'Monthly P&amp;L'!AO19</f>
        <v>-0.498741492466471</v>
      </c>
      <c r="C13" s="45" t="n">
        <f aca="false">'Monthly P&amp;L'!AP19</f>
        <v>0.282219230119649</v>
      </c>
      <c r="D13" s="45" t="n">
        <f aca="false">'Monthly P&amp;L'!AQ19</f>
        <v>0.433783647510266</v>
      </c>
      <c r="E13" s="54"/>
      <c r="F13" s="54"/>
    </row>
    <row r="14" customFormat="false" ht="15" hidden="false" customHeight="true" outlineLevel="0" collapsed="false">
      <c r="A14" s="13" t="s">
        <v>215</v>
      </c>
      <c r="B14" s="50" t="n">
        <f aca="false">'Monthly P&amp;L'!AO28</f>
        <v>-368000</v>
      </c>
      <c r="C14" s="50" t="n">
        <f aca="false">'Monthly P&amp;L'!AP28</f>
        <v>-468000</v>
      </c>
      <c r="D14" s="50" t="n">
        <f aca="false">'Monthly P&amp;L'!AQ28</f>
        <v>-518000</v>
      </c>
      <c r="E14" s="50" t="n">
        <f aca="false">B14+C14+D14</f>
        <v>-1354000</v>
      </c>
      <c r="F14" s="45" t="n">
        <f aca="false">IFERROR(E14/E10,0)</f>
        <v>-0.249958786465972</v>
      </c>
    </row>
    <row r="15" customFormat="false" ht="15" hidden="false" customHeight="true" outlineLevel="0" collapsed="false">
      <c r="A15" s="51" t="s">
        <v>197</v>
      </c>
      <c r="B15" s="44" t="n">
        <f aca="false">'Monthly P&amp;L'!AO30</f>
        <v>-458426.879898632</v>
      </c>
      <c r="C15" s="44" t="n">
        <f aca="false">'Monthly P&amp;L'!AP30</f>
        <v>-120470.144390433</v>
      </c>
      <c r="D15" s="44" t="n">
        <f aca="false">'Monthly P&amp;L'!AQ30</f>
        <v>1218941.22150452</v>
      </c>
      <c r="E15" s="44" t="n">
        <f aca="false">B15+C15+D15</f>
        <v>640044.197215459</v>
      </c>
      <c r="F15" s="55" t="n">
        <f aca="false">IFERROR(E15/E10,0)</f>
        <v>0.118157068552853</v>
      </c>
    </row>
    <row r="16" customFormat="false" ht="15" hidden="false" customHeight="true" outlineLevel="0" collapsed="false">
      <c r="A16" s="53" t="s">
        <v>198</v>
      </c>
      <c r="B16" s="45" t="n">
        <f aca="false">IFERROR('Monthly P&amp;L'!AO31,0)</f>
        <v>-2.52841308384954</v>
      </c>
      <c r="C16" s="45" t="n">
        <f aca="false">IFERROR('Monthly P&amp;L'!AP31,0)</f>
        <v>-0.0978304190373422</v>
      </c>
      <c r="D16" s="45" t="n">
        <f aca="false">IFERROR('Monthly P&amp;L'!AQ31,0)</f>
        <v>0.304418343360431</v>
      </c>
      <c r="E16" s="54"/>
      <c r="F16" s="54"/>
    </row>
    <row r="18" customFormat="false" ht="15" hidden="false" customHeight="true" outlineLevel="0" collapsed="false">
      <c r="A18" s="12" t="s">
        <v>216</v>
      </c>
      <c r="B18" s="12"/>
      <c r="C18" s="12"/>
      <c r="D18" s="12"/>
      <c r="E18" s="12"/>
      <c r="F18" s="12"/>
    </row>
    <row r="19" customFormat="false" ht="15" hidden="false" customHeight="true" outlineLevel="0" collapsed="false">
      <c r="A19" s="48" t="s">
        <v>217</v>
      </c>
      <c r="B19" s="49" t="s">
        <v>205</v>
      </c>
      <c r="C19" s="49" t="s">
        <v>206</v>
      </c>
      <c r="D19" s="49" t="s">
        <v>207</v>
      </c>
      <c r="E19" s="49"/>
      <c r="F19" s="49" t="s">
        <v>218</v>
      </c>
    </row>
    <row r="20" customFormat="false" ht="15" hidden="false" customHeight="true" outlineLevel="0" collapsed="false">
      <c r="A20" s="13" t="s">
        <v>219</v>
      </c>
      <c r="B20" s="56" t="n">
        <f aca="false">'Volume &amp; Funnel'!M6</f>
        <v>20</v>
      </c>
      <c r="C20" s="56" t="n">
        <f aca="false">'Volume &amp; Funnel'!Z6</f>
        <v>80</v>
      </c>
      <c r="D20" s="56" t="n">
        <f aca="false">'Volume &amp; Funnel'!AM6</f>
        <v>160</v>
      </c>
      <c r="E20" s="13"/>
      <c r="F20" s="53" t="s">
        <v>220</v>
      </c>
    </row>
    <row r="21" customFormat="false" ht="15" hidden="false" customHeight="true" outlineLevel="0" collapsed="false">
      <c r="A21" s="13" t="s">
        <v>221</v>
      </c>
      <c r="B21" s="56" t="n">
        <f aca="false">'Volume &amp; Funnel'!M10</f>
        <v>1600</v>
      </c>
      <c r="C21" s="56" t="n">
        <f aca="false">'Volume &amp; Funnel'!Z10</f>
        <v>8800</v>
      </c>
      <c r="D21" s="56" t="n">
        <f aca="false">'Volume &amp; Funnel'!AM10</f>
        <v>21138</v>
      </c>
      <c r="E21" s="13"/>
      <c r="F21" s="53" t="s">
        <v>220</v>
      </c>
    </row>
    <row r="22" customFormat="false" ht="15" hidden="false" customHeight="true" outlineLevel="0" collapsed="false">
      <c r="A22" s="57" t="s">
        <v>222</v>
      </c>
      <c r="B22" s="58" t="n">
        <f aca="false">'Volume &amp; Funnel'!AO10</f>
        <v>8825.17364097129</v>
      </c>
      <c r="C22" s="58" t="n">
        <f aca="false">'Volume &amp; Funnel'!AP10</f>
        <v>60494.247982253</v>
      </c>
      <c r="D22" s="58" t="n">
        <f aca="false">'Volume &amp; Funnel'!AQ10</f>
        <v>198285.337341115</v>
      </c>
      <c r="E22" s="13"/>
      <c r="F22" s="53" t="s">
        <v>220</v>
      </c>
    </row>
    <row r="23" customFormat="false" ht="15" hidden="false" customHeight="true" outlineLevel="0" collapsed="false">
      <c r="A23" s="13" t="s">
        <v>223</v>
      </c>
      <c r="B23" s="59" t="n">
        <f aca="false">IFERROR('Monthly P&amp;L'!AO10/'Volume &amp; Funnel'!AO10,0)</f>
        <v>20.5446518649364</v>
      </c>
      <c r="C23" s="59" t="n">
        <f aca="false">IFERROR('Monthly P&amp;L'!AP10/'Volume &amp; Funnel'!AP10,0)</f>
        <v>20.3559527836568</v>
      </c>
      <c r="D23" s="59" t="n">
        <f aca="false">IFERROR('Monthly P&amp;L'!AQ10/'Volume &amp; Funnel'!AQ10,0)</f>
        <v>20.1939531949156</v>
      </c>
      <c r="E23" s="13"/>
      <c r="F23" s="53" t="s">
        <v>224</v>
      </c>
    </row>
    <row r="24" customFormat="false" ht="15" hidden="false" customHeight="true" outlineLevel="0" collapsed="false">
      <c r="A24" s="13" t="s">
        <v>225</v>
      </c>
      <c r="B24" s="56" t="n">
        <f aca="false">Assumptions!B33+Assumptions!B36</f>
        <v>15</v>
      </c>
      <c r="C24" s="56" t="n">
        <f aca="false">Assumptions!C33+Assumptions!C36</f>
        <v>30</v>
      </c>
      <c r="D24" s="56" t="n">
        <f aca="false">Assumptions!D33+Assumptions!D36</f>
        <v>52</v>
      </c>
      <c r="E24" s="13"/>
      <c r="F24" s="53" t="s">
        <v>220</v>
      </c>
    </row>
    <row r="25" customFormat="false" ht="15" hidden="false" customHeight="true" outlineLevel="0" collapsed="false">
      <c r="A25" s="53" t="s">
        <v>226</v>
      </c>
      <c r="B25" s="60" t="n">
        <f aca="false">IFERROR('Volume &amp; Funnel'!AO15/((Assumptions!B33+Assumptions!B36)*Assumptions!B32*12*8),0)</f>
        <v>0.267895299145299</v>
      </c>
      <c r="C25" s="60" t="n">
        <f aca="false">IFERROR('Volume &amp; Funnel'!AP15/((Assumptions!C33+Assumptions!C36)*Assumptions!B32*12*8),0)</f>
        <v>0.918055555555556</v>
      </c>
      <c r="D25" s="60" t="n">
        <f aca="false">IFERROR('Volume &amp; Funnel'!AQ15/((Assumptions!D33+Assumptions!D36)*Assumptions!B32*12*8),0)</f>
        <v>1.73602379191322</v>
      </c>
      <c r="E25" s="61"/>
      <c r="F25" s="62" t="s">
        <v>227</v>
      </c>
    </row>
    <row r="26" customFormat="false" ht="15" hidden="false" customHeight="true" outlineLevel="0" collapsed="false">
      <c r="A26" s="23"/>
      <c r="B26" s="23"/>
      <c r="C26" s="23"/>
      <c r="D26" s="23"/>
      <c r="E26" s="23"/>
      <c r="F26" s="23"/>
    </row>
    <row r="27" customFormat="false" ht="15" hidden="false" customHeight="true" outlineLevel="0" collapsed="false">
      <c r="A27" s="12" t="s">
        <v>228</v>
      </c>
      <c r="B27" s="24"/>
      <c r="C27" s="24"/>
      <c r="D27" s="24"/>
      <c r="E27" s="24"/>
      <c r="F27" s="25"/>
    </row>
    <row r="28" customFormat="false" ht="15" hidden="false" customHeight="true" outlineLevel="0" collapsed="false">
      <c r="A28" s="13" t="s">
        <v>229</v>
      </c>
      <c r="B28" s="56" t="n">
        <f aca="false">Assumptions!B61</f>
        <v>60000</v>
      </c>
      <c r="C28" s="13"/>
      <c r="D28" s="13"/>
      <c r="E28" s="13"/>
      <c r="F28" s="13"/>
    </row>
    <row r="29" customFormat="false" ht="15" hidden="false" customHeight="true" outlineLevel="0" collapsed="false">
      <c r="A29" s="13" t="s">
        <v>230</v>
      </c>
      <c r="B29" s="56" t="n">
        <f aca="false">ABS(MIN(0,MIN('Monthly P&amp;L'!B32,'Monthly P&amp;L'!C32,'Monthly P&amp;L'!D32,'Monthly P&amp;L'!E32,'Monthly P&amp;L'!F32,'Monthly P&amp;L'!G32,'Monthly P&amp;L'!H32,'Monthly P&amp;L'!I32,'Monthly P&amp;L'!J32,'Monthly P&amp;L'!K32,'Monthly P&amp;L'!L32,'Monthly P&amp;L'!M32,'Monthly P&amp;L'!O32,'Monthly P&amp;L'!P32,'Monthly P&amp;L'!Q32,'Monthly P&amp;L'!R32,'Monthly P&amp;L'!S32,'Monthly P&amp;L'!T32,'Monthly P&amp;L'!U32,'Monthly P&amp;L'!V32,'Monthly P&amp;L'!W32,'Monthly P&amp;L'!X32,'Monthly P&amp;L'!Y32,'Monthly P&amp;L'!Z32,'Monthly P&amp;L'!AB32,'Monthly P&amp;L'!AC32,'Monthly P&amp;L'!AD32,'Monthly P&amp;L'!AE32,'Monthly P&amp;L'!AF32,'Monthly P&amp;L'!AG32,'Monthly P&amp;L'!AH32,'Monthly P&amp;L'!AI32,'Monthly P&amp;L'!AJ32,'Monthly P&amp;L'!AK32,'Monthly P&amp;L'!AL32,'Monthly P&amp;L'!AM32)))</f>
        <v>634893.715778759</v>
      </c>
      <c r="C29" s="13"/>
      <c r="D29" s="13"/>
      <c r="E29" s="13"/>
      <c r="F29" s="13"/>
    </row>
    <row r="30" customFormat="false" ht="15" hidden="false" customHeight="true" outlineLevel="0" collapsed="false">
      <c r="A30" s="57" t="s">
        <v>231</v>
      </c>
      <c r="B30" s="63" t="n">
        <f aca="false">B28+B29</f>
        <v>694893.715778759</v>
      </c>
      <c r="C30" s="13"/>
      <c r="D30" s="13"/>
      <c r="E30" s="13"/>
      <c r="F30" s="13"/>
    </row>
    <row r="31" customFormat="false" ht="15" hidden="false" customHeight="true" outlineLevel="0" collapsed="false">
      <c r="A31" s="23"/>
      <c r="B31" s="23"/>
      <c r="C31" s="23"/>
      <c r="D31" s="23"/>
      <c r="E31" s="23"/>
      <c r="F31" s="23"/>
    </row>
    <row r="32" customFormat="false" ht="15" hidden="false" customHeight="true" outlineLevel="0" collapsed="false">
      <c r="A32" s="11" t="s">
        <v>232</v>
      </c>
      <c r="B32" s="24"/>
      <c r="C32" s="24"/>
      <c r="D32" s="24"/>
      <c r="E32" s="24"/>
      <c r="F32" s="25"/>
    </row>
  </sheetData>
  <mergeCells count="6">
    <mergeCell ref="A1:F1"/>
    <mergeCell ref="A2:F2"/>
    <mergeCell ref="A4:F4"/>
    <mergeCell ref="A18:F18"/>
    <mergeCell ref="A26:F26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2026-06-29T12:00:50Z</dcterms:created>
  <dc:creator>openpyxl</dc:creator>
  <dc:description/>
  <dc:language>en-US</dc:language>
  <cp:lastModifiedBy>Hashir Faraz</cp:lastModifiedBy>
  <dcterms:modified xsi:type="dcterms:W3CDTF">2026-07-27T14:09:56Z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