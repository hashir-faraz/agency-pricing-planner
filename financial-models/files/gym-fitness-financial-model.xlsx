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Member Build" sheetId="3" state="visible" r:id="rId5"/>
    <sheet name="Monthly P&amp;L" sheetId="4" state="visible" r:id="rId6"/>
    <sheet name="Annual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<sst xmlns="http://schemas.openxmlformats.org/spreadsheetml/2006/main" count="207" uniqueCount="134">
  <si>
    <t xml:space="preserve">GYM &amp; FITNESS STUDIO — 3-YEAR FINANCIAL MODEL</t>
  </si>
  <si>
    <t xml:space="preserve">Boutique Gym  ·  GCC Market  ·  Base Case Build, 2026</t>
  </si>
  <si>
    <t xml:space="preserve">OVERVIEW</t>
  </si>
  <si>
    <t xml:space="preserve">Bottom-up 3-year financial model for a boutique gym. Starts from the local catchment population (Catchment → Active Gym-Goers → SAM → Members) and builds through membership tiers, personal training and class packs to a monthly P&amp;L and EBITDA. Yellow-highlighted cells are analyst estimates — adjust them to stress-test the model.</t>
  </si>
  <si>
    <t xml:space="preserve">NAVIGATE THE MODEL</t>
  </si>
  <si>
    <t xml:space="preserve">1  ·  Assumptions          All inputs — catchment market, tier pricing, churn, growth targets, cost rates. Yellow = analyst estimate.</t>
  </si>
  <si>
    <t xml:space="preserve">2  ·  Member Build          Monthly membership base for 36 months — joins, churn, tier split, PT and class attach rates.</t>
  </si>
  <si>
    <t xml:space="preserve">3  ·  Monthly P&amp;L          Three revenue streams (memberships, personal training, class packs), staff and facility costs to EBITDA.</t>
  </si>
  <si>
    <t xml:space="preserve">4  ·  Annual Summary          3-year P&amp;L rollup, revenue mix, funding requirement and break-even.</t>
  </si>
  <si>
    <t xml:space="preserve">COLOUR LEGEND</t>
  </si>
  <si>
    <t xml:space="preserve">Blue text  →  Given input (market data or published rate)</t>
  </si>
  <si>
    <t xml:space="preserve">Blue text + yellow background  →  Analyst estimate — change to stress-test</t>
  </si>
  <si>
    <t xml:space="preserve">Black text  →  Formula / calculation — do not overwrite</t>
  </si>
  <si>
    <t xml:space="preserve">Green text  →  Link pulling from another tab — do not overwrite</t>
  </si>
  <si>
    <t xml:space="preserve">GYM &amp; FITNESS STUDIO — MODEL ASSUMPTIONS</t>
  </si>
  <si>
    <t xml:space="preserve">Blue = given (market data / rate card).  Yellow = analyst estimate — change to stress-test.  Black = formula, do not edit.</t>
  </si>
  <si>
    <t xml:space="preserve">MARKET CONTEXT — LOCAL CATCHMENT</t>
  </si>
  <si>
    <t xml:space="preserve">Catchment population within 15 min drive</t>
  </si>
  <si>
    <t xml:space="preserve">How many people live within a realistic drive of the gym?</t>
  </si>
  <si>
    <t xml:space="preserve">Regular exercisers — % of catchment</t>
  </si>
  <si>
    <t xml:space="preserve">What share of the catchment exercises at least weekly?</t>
  </si>
  <si>
    <t xml:space="preserve">Active gym-goers — derived</t>
  </si>
  <si>
    <t xml:space="preserve">People in range who train regularly. (population × exerciser rate)</t>
  </si>
  <si>
    <t xml:space="preserve">Willing to pay boutique rates — SAM %</t>
  </si>
  <si>
    <t xml:space="preserve">Share of gym-goers open to a boutique membership over a budget chain.</t>
  </si>
  <si>
    <t xml:space="preserve">SAM — addressable members</t>
  </si>
  <si>
    <t xml:space="preserve">Our total addressable membership pool.</t>
  </si>
  <si>
    <t xml:space="preserve">MEMBERSHIP FUNNEL</t>
  </si>
  <si>
    <t xml:space="preserve">Members — Month 1 opening</t>
  </si>
  <si>
    <t xml:space="preserve">Founding members signed at launch.</t>
  </si>
  <si>
    <t xml:space="preserve">Target members by year-end   [Y1 | Y2 | Y3]</t>
  </si>
  <si>
    <t xml:space="preserve">How many active members do we want at the end of each year?</t>
  </si>
  <si>
    <t xml:space="preserve">Monthly member growth rate — derived   [Y1 | Y2 | Y3]</t>
  </si>
  <si>
    <t xml:space="preserve">Monthly compounding rate needed to hit each year-end target.</t>
  </si>
  <si>
    <t xml:space="preserve">Monthly churn rate</t>
  </si>
  <si>
    <t xml:space="preserve">Share of members who cancel each month. Joins must outpace this.</t>
  </si>
  <si>
    <t xml:space="preserve">PRICING — RATE CARD</t>
  </si>
  <si>
    <t xml:space="preserve">Standard membership — monthly fee</t>
  </si>
  <si>
    <t xml:space="preserve">Gym floor + group classes.</t>
  </si>
  <si>
    <t xml:space="preserve">Premium membership — monthly fee</t>
  </si>
  <si>
    <t xml:space="preserve">All access + recovery zone + guest passes.</t>
  </si>
  <si>
    <t xml:space="preserve">Premium members — % of base</t>
  </si>
  <si>
    <t xml:space="preserve">What share of members upgrade to Premium?</t>
  </si>
  <si>
    <t xml:space="preserve">PT session — price</t>
  </si>
  <si>
    <t xml:space="preserve">One-on-one personal training, per session.</t>
  </si>
  <si>
    <t xml:space="preserve">PT sessions per member per month — average</t>
  </si>
  <si>
    <t xml:space="preserve">Averaged across the whole base; most buy none, some buy weekly.</t>
  </si>
  <si>
    <t xml:space="preserve">Class pack — price (10 classes, non-members)</t>
  </si>
  <si>
    <t xml:space="preserve">Drop-in class product for non-members.</t>
  </si>
  <si>
    <t xml:space="preserve">Class packs sold per month — per 100 members</t>
  </si>
  <si>
    <t xml:space="preserve">Non-member demand scales with the community around the gym.</t>
  </si>
  <si>
    <t xml:space="preserve">OPERATING COSTS</t>
  </si>
  <si>
    <t xml:space="preserve">Rent — monthly</t>
  </si>
  <si>
    <t xml:space="preserve">Warehouse-format unit, prime-adjacent location.</t>
  </si>
  <si>
    <t xml:space="preserve">Head coach — monthly salary</t>
  </si>
  <si>
    <t xml:space="preserve">Leads programming and the coaching team.</t>
  </si>
  <si>
    <t xml:space="preserve">Coaches — monthly salary each</t>
  </si>
  <si>
    <t xml:space="preserve">Full-time floor coaches.</t>
  </si>
  <si>
    <t xml:space="preserve">Coaches — headcount   [Y1 | Y2 | Y3]</t>
  </si>
  <si>
    <t xml:space="preserve">Scales with the member base.</t>
  </si>
  <si>
    <t xml:space="preserve">PT trainer payout — % of PT revenue</t>
  </si>
  <si>
    <t xml:space="preserve">Revenue share paid to trainers on PT sessions.</t>
  </si>
  <si>
    <t xml:space="preserve">Front desk &amp; ops staff — monthly total</t>
  </si>
  <si>
    <t xml:space="preserve">Reception, cleaning, ops.</t>
  </si>
  <si>
    <t xml:space="preserve">Utilities &amp; consumables — monthly</t>
  </si>
  <si>
    <t xml:space="preserve">Power, water, towels, supplies.</t>
  </si>
  <si>
    <t xml:space="preserve">Software &amp; payments — monthly</t>
  </si>
  <si>
    <t xml:space="preserve">Booking app, access control, payment fees.</t>
  </si>
  <si>
    <t xml:space="preserve">Marketing — cost per new member acquired</t>
  </si>
  <si>
    <t xml:space="preserve">Blended CAC across paid, referral and community.</t>
  </si>
  <si>
    <t xml:space="preserve">ONE-TIME CAPEX (pre-launch)</t>
  </si>
  <si>
    <t xml:space="preserve">Equipment &amp; rig fit-out</t>
  </si>
  <si>
    <t xml:space="preserve">Interiors, changing rooms &amp; branding</t>
  </si>
  <si>
    <t xml:space="preserve">Pre-launch marketing &amp; founding-member drive</t>
  </si>
  <si>
    <t xml:space="preserve">Total One-Time Capex — derived</t>
  </si>
  <si>
    <t xml:space="preserve">GYM &amp; FITNESS STUDIO  |  MEMBER BUILD</t>
  </si>
  <si>
    <t xml:space="preserve">36-month membership base: joins, churn, tier split and attach rates. Green = pulls from Assumptions.</t>
  </si>
  <si>
    <t xml:space="preserve">Month</t>
  </si>
  <si>
    <t xml:space="preserve">Year</t>
  </si>
  <si>
    <t xml:space="preserve">Y1</t>
  </si>
  <si>
    <t xml:space="preserve">Y2</t>
  </si>
  <si>
    <t xml:space="preserve">Y3</t>
  </si>
  <si>
    <t xml:space="preserve">Opening members</t>
  </si>
  <si>
    <t xml:space="preserve">New joins (growth + replacing churn)</t>
  </si>
  <si>
    <t xml:space="preserve">Churned members</t>
  </si>
  <si>
    <t xml:space="preserve">Closing members</t>
  </si>
  <si>
    <t xml:space="preserve">Premium members</t>
  </si>
  <si>
    <t xml:space="preserve">Standard members</t>
  </si>
  <si>
    <t xml:space="preserve">PT sessions delivered</t>
  </si>
  <si>
    <t xml:space="preserve">Class packs sold (non-members)</t>
  </si>
  <si>
    <t xml:space="preserve">GYM &amp; FITNESS STUDIO  |  MONTHLY P&amp;L</t>
  </si>
  <si>
    <t xml:space="preserve">Three revenue streams to EBITDA, 36 months. Green = pulls from Member Build / Assumptions.</t>
  </si>
  <si>
    <t xml:space="preserve">REVENUE</t>
  </si>
  <si>
    <t xml:space="preserve">Standard memberships</t>
  </si>
  <si>
    <t xml:space="preserve">Premium memberships</t>
  </si>
  <si>
    <t xml:space="preserve">Personal training</t>
  </si>
  <si>
    <t xml:space="preserve">Class packs</t>
  </si>
  <si>
    <t xml:space="preserve">TOTAL REVENUE</t>
  </si>
  <si>
    <t xml:space="preserve">DIRECT &amp; OPERATING COSTS</t>
  </si>
  <si>
    <t xml:space="preserve">Rent</t>
  </si>
  <si>
    <t xml:space="preserve">Head coach</t>
  </si>
  <si>
    <t xml:space="preserve">Coaching team</t>
  </si>
  <si>
    <t xml:space="preserve">PT trainer payout</t>
  </si>
  <si>
    <t xml:space="preserve">Front desk &amp; ops</t>
  </si>
  <si>
    <t xml:space="preserve">Utilities &amp; consumables</t>
  </si>
  <si>
    <t xml:space="preserve">Software &amp; payments</t>
  </si>
  <si>
    <t xml:space="preserve">Marketing (new-member CAC)</t>
  </si>
  <si>
    <t xml:space="preserve">TOTAL COSTS</t>
  </si>
  <si>
    <t xml:space="preserve">EBITDA</t>
  </si>
  <si>
    <t xml:space="preserve">Cumulative EBITDA less capex</t>
  </si>
  <si>
    <t xml:space="preserve">GYM &amp; FITNESS STUDIO  |  ANNUAL SUMMARY</t>
  </si>
  <si>
    <t xml:space="preserve">3-year P&amp;L, revenue mix, member metrics and funding requirement.</t>
  </si>
  <si>
    <t xml:space="preserve">3-YEAR P&amp;L SUMMARY</t>
  </si>
  <si>
    <t xml:space="preserve">Line Item</t>
  </si>
  <si>
    <t xml:space="preserve">FY1</t>
  </si>
  <si>
    <t xml:space="preserve">FY2</t>
  </si>
  <si>
    <t xml:space="preserve">FY3</t>
  </si>
  <si>
    <t xml:space="preserve">3-Yr Total</t>
  </si>
  <si>
    <t xml:space="preserve">% of 3-Yr Rev</t>
  </si>
  <si>
    <t xml:space="preserve">Standard membership revenue</t>
  </si>
  <si>
    <t xml:space="preserve">Premium membership revenue</t>
  </si>
  <si>
    <t xml:space="preserve">Personal training revenue</t>
  </si>
  <si>
    <t xml:space="preserve">Class pack revenue</t>
  </si>
  <si>
    <t xml:space="preserve">Total costs</t>
  </si>
  <si>
    <t xml:space="preserve">EBITDA margin %</t>
  </si>
  <si>
    <t xml:space="preserve">MEMBER METRICS  (end-of-year)</t>
  </si>
  <si>
    <t xml:space="preserve">Members (Dec closing)</t>
  </si>
  <si>
    <t xml:space="preserve">Monthly revenue per member (Dec)</t>
  </si>
  <si>
    <t xml:space="preserve">FUNDING REQUIREMENT</t>
  </si>
  <si>
    <t xml:space="preserve">One-Time Capex</t>
  </si>
  <si>
    <t xml:space="preserve">Peak cumulative cash shortfall (incl. capex)</t>
  </si>
  <si>
    <t xml:space="preserve">Implied Funding Required</t>
  </si>
  <si>
    <t xml:space="preserve">Break-even month (cumulative cash turns positive)</t>
  </si>
  <si>
    <t xml:space="preserve">Array formula — month index where cumulative EBITDA less capex first exceeds zero.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</si>
</sst>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"/>
    <numFmt numFmtId="168" formatCode="#,##0;\(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48" hidden="false" customHeight="true" outlineLevel="0" collapsed="false">
      <c r="B6" s="4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5" t="s">
        <v>5</v>
      </c>
    </row>
    <row r="10" customFormat="false" ht="15" hidden="false" customHeight="false" outlineLevel="0" collapsed="false">
      <c r="B10" s="5" t="s">
        <v>6</v>
      </c>
    </row>
    <row r="11" customFormat="false" ht="15" hidden="false" customHeight="false" outlineLevel="0" collapsed="false">
      <c r="B11" s="5" t="s">
        <v>7</v>
      </c>
    </row>
    <row r="12" customFormat="false" ht="15" hidden="false" customHeight="false" outlineLevel="0" collapsed="false">
      <c r="B12" s="5" t="s">
        <v>8</v>
      </c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6" t="s">
        <v>10</v>
      </c>
    </row>
    <row r="16" customFormat="false" ht="15" hidden="false" customHeight="false" outlineLevel="0" collapsed="false">
      <c r="B16" s="7" t="s">
        <v>11</v>
      </c>
    </row>
    <row r="17" customFormat="false" ht="15" hidden="false" customHeight="false" outlineLevel="0" collapsed="false">
      <c r="B17" s="5" t="s">
        <v>12</v>
      </c>
    </row>
    <row r="18" customFormat="false" ht="15" hidden="false" customHeight="false" outlineLevel="0" collapsed="false">
      <c r="B18" s="8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3"/>
    <col collapsed="false" customWidth="true" hidden="false" outlineLevel="0" max="5" min="5" style="0" width="68"/>
  </cols>
  <sheetData>
    <row r="1" customFormat="false" ht="15" hidden="false" customHeight="false" outlineLevel="0" collapsed="false">
      <c r="A1" s="3" t="s">
        <v>14</v>
      </c>
    </row>
    <row r="2" customFormat="false" ht="15" hidden="false" customHeight="false" outlineLevel="0" collapsed="false">
      <c r="A2" s="2" t="s">
        <v>15</v>
      </c>
    </row>
    <row r="4" customFormat="false" ht="15" hidden="false" customHeight="false" outlineLevel="0" collapsed="false">
      <c r="A4" s="3" t="s">
        <v>16</v>
      </c>
    </row>
    <row r="5" customFormat="false" ht="15" hidden="false" customHeight="false" outlineLevel="0" collapsed="false">
      <c r="A5" s="5" t="s">
        <v>17</v>
      </c>
      <c r="B5" s="9" t="n">
        <v>120000</v>
      </c>
      <c r="E5" s="2" t="s">
        <v>18</v>
      </c>
    </row>
    <row r="6" customFormat="false" ht="15" hidden="false" customHeight="false" outlineLevel="0" collapsed="false">
      <c r="A6" s="5" t="s">
        <v>19</v>
      </c>
      <c r="B6" s="10" t="n">
        <v>0.22</v>
      </c>
      <c r="E6" s="2" t="s">
        <v>20</v>
      </c>
    </row>
    <row r="7" customFormat="false" ht="15" hidden="false" customHeight="false" outlineLevel="0" collapsed="false">
      <c r="A7" s="5" t="s">
        <v>21</v>
      </c>
      <c r="B7" s="11" t="n">
        <f aca="false">B5*B6</f>
        <v>26400</v>
      </c>
      <c r="E7" s="2" t="s">
        <v>22</v>
      </c>
    </row>
    <row r="8" customFormat="false" ht="15" hidden="false" customHeight="false" outlineLevel="0" collapsed="false">
      <c r="A8" s="5" t="s">
        <v>23</v>
      </c>
      <c r="B8" s="10" t="n">
        <v>0.3</v>
      </c>
      <c r="E8" s="2" t="s">
        <v>24</v>
      </c>
    </row>
    <row r="9" customFormat="false" ht="15" hidden="false" customHeight="false" outlineLevel="0" collapsed="false">
      <c r="A9" s="5" t="s">
        <v>25</v>
      </c>
      <c r="B9" s="11" t="n">
        <f aca="false">B7*B8</f>
        <v>7920</v>
      </c>
      <c r="E9" s="2" t="s">
        <v>26</v>
      </c>
    </row>
    <row r="11" customFormat="false" ht="15" hidden="false" customHeight="false" outlineLevel="0" collapsed="false">
      <c r="A11" s="3" t="s">
        <v>27</v>
      </c>
    </row>
    <row r="12" customFormat="false" ht="15" hidden="false" customHeight="false" outlineLevel="0" collapsed="false">
      <c r="A12" s="5" t="s">
        <v>28</v>
      </c>
      <c r="B12" s="12" t="n">
        <v>60</v>
      </c>
      <c r="E12" s="2" t="s">
        <v>29</v>
      </c>
    </row>
    <row r="13" customFormat="false" ht="15" hidden="false" customHeight="false" outlineLevel="0" collapsed="false">
      <c r="A13" s="5" t="s">
        <v>30</v>
      </c>
      <c r="B13" s="12" t="n">
        <v>220</v>
      </c>
      <c r="C13" s="12" t="n">
        <v>420</v>
      </c>
      <c r="D13" s="12" t="n">
        <v>600</v>
      </c>
      <c r="E13" s="2" t="s">
        <v>31</v>
      </c>
    </row>
    <row r="14" customFormat="false" ht="15" hidden="false" customHeight="false" outlineLevel="0" collapsed="false">
      <c r="A14" s="5" t="s">
        <v>32</v>
      </c>
      <c r="B14" s="13" t="n">
        <f aca="false">(B13/B12)^(1/12)-1</f>
        <v>0.114352570504272</v>
      </c>
      <c r="C14" s="13" t="n">
        <f aca="false">(C13/B13)^(1/12)-1</f>
        <v>0.0553638585383476</v>
      </c>
      <c r="D14" s="13" t="n">
        <f aca="false">(D13/C13)^(1/12)-1</f>
        <v>0.0301690469166949</v>
      </c>
      <c r="E14" s="2" t="s">
        <v>33</v>
      </c>
    </row>
    <row r="15" customFormat="false" ht="15" hidden="false" customHeight="false" outlineLevel="0" collapsed="false">
      <c r="A15" s="5" t="s">
        <v>34</v>
      </c>
      <c r="B15" s="10" t="n">
        <v>0.05</v>
      </c>
      <c r="E15" s="2" t="s">
        <v>35</v>
      </c>
    </row>
    <row r="17" customFormat="false" ht="15" hidden="false" customHeight="false" outlineLevel="0" collapsed="false">
      <c r="A17" s="3" t="s">
        <v>36</v>
      </c>
    </row>
    <row r="18" customFormat="false" ht="15" hidden="false" customHeight="false" outlineLevel="0" collapsed="false">
      <c r="A18" s="5" t="s">
        <v>37</v>
      </c>
      <c r="B18" s="9" t="n">
        <v>350</v>
      </c>
      <c r="E18" s="2" t="s">
        <v>38</v>
      </c>
    </row>
    <row r="19" customFormat="false" ht="15" hidden="false" customHeight="false" outlineLevel="0" collapsed="false">
      <c r="A19" s="5" t="s">
        <v>39</v>
      </c>
      <c r="B19" s="9" t="n">
        <v>550</v>
      </c>
      <c r="E19" s="2" t="s">
        <v>40</v>
      </c>
    </row>
    <row r="20" customFormat="false" ht="15" hidden="false" customHeight="false" outlineLevel="0" collapsed="false">
      <c r="A20" s="5" t="s">
        <v>41</v>
      </c>
      <c r="B20" s="10" t="n">
        <v>0.3</v>
      </c>
      <c r="E20" s="2" t="s">
        <v>42</v>
      </c>
    </row>
    <row r="21" customFormat="false" ht="15" hidden="false" customHeight="false" outlineLevel="0" collapsed="false">
      <c r="A21" s="5" t="s">
        <v>43</v>
      </c>
      <c r="B21" s="9" t="n">
        <v>180</v>
      </c>
      <c r="E21" s="2" t="s">
        <v>44</v>
      </c>
    </row>
    <row r="22" customFormat="false" ht="15" hidden="false" customHeight="false" outlineLevel="0" collapsed="false">
      <c r="A22" s="5" t="s">
        <v>45</v>
      </c>
      <c r="B22" s="14" t="n">
        <v>0.8</v>
      </c>
      <c r="E22" s="2" t="s">
        <v>46</v>
      </c>
    </row>
    <row r="23" customFormat="false" ht="15" hidden="false" customHeight="false" outlineLevel="0" collapsed="false">
      <c r="A23" s="5" t="s">
        <v>47</v>
      </c>
      <c r="B23" s="9" t="n">
        <v>400</v>
      </c>
      <c r="E23" s="2" t="s">
        <v>48</v>
      </c>
    </row>
    <row r="24" customFormat="false" ht="15" hidden="false" customHeight="false" outlineLevel="0" collapsed="false">
      <c r="A24" s="5" t="s">
        <v>49</v>
      </c>
      <c r="B24" s="14" t="n">
        <v>6</v>
      </c>
      <c r="E24" s="2" t="s">
        <v>50</v>
      </c>
    </row>
    <row r="26" customFormat="false" ht="15" hidden="false" customHeight="false" outlineLevel="0" collapsed="false">
      <c r="A26" s="3" t="s">
        <v>51</v>
      </c>
    </row>
    <row r="27" customFormat="false" ht="15" hidden="false" customHeight="false" outlineLevel="0" collapsed="false">
      <c r="A27" s="5" t="s">
        <v>52</v>
      </c>
      <c r="B27" s="9" t="n">
        <v>45000</v>
      </c>
      <c r="E27" s="2" t="s">
        <v>53</v>
      </c>
    </row>
    <row r="28" customFormat="false" ht="15" hidden="false" customHeight="false" outlineLevel="0" collapsed="false">
      <c r="A28" s="5" t="s">
        <v>54</v>
      </c>
      <c r="B28" s="12" t="n">
        <v>14000</v>
      </c>
      <c r="E28" s="2" t="s">
        <v>55</v>
      </c>
    </row>
    <row r="29" customFormat="false" ht="15" hidden="false" customHeight="false" outlineLevel="0" collapsed="false">
      <c r="A29" s="5" t="s">
        <v>56</v>
      </c>
      <c r="B29" s="12" t="n">
        <v>8000</v>
      </c>
      <c r="E29" s="2" t="s">
        <v>57</v>
      </c>
    </row>
    <row r="30" customFormat="false" ht="15" hidden="false" customHeight="false" outlineLevel="0" collapsed="false">
      <c r="A30" s="5" t="s">
        <v>58</v>
      </c>
      <c r="B30" s="12" t="n">
        <v>3</v>
      </c>
      <c r="C30" s="12" t="n">
        <v>5</v>
      </c>
      <c r="D30" s="12" t="n">
        <v>7</v>
      </c>
      <c r="E30" s="2" t="s">
        <v>59</v>
      </c>
    </row>
    <row r="31" customFormat="false" ht="15" hidden="false" customHeight="false" outlineLevel="0" collapsed="false">
      <c r="A31" s="5" t="s">
        <v>60</v>
      </c>
      <c r="B31" s="10" t="n">
        <v>0.45</v>
      </c>
      <c r="E31" s="2" t="s">
        <v>61</v>
      </c>
    </row>
    <row r="32" customFormat="false" ht="15" hidden="false" customHeight="false" outlineLevel="0" collapsed="false">
      <c r="A32" s="5" t="s">
        <v>62</v>
      </c>
      <c r="B32" s="12" t="n">
        <v>11000</v>
      </c>
      <c r="E32" s="2" t="s">
        <v>63</v>
      </c>
    </row>
    <row r="33" customFormat="false" ht="15" hidden="false" customHeight="false" outlineLevel="0" collapsed="false">
      <c r="A33" s="5" t="s">
        <v>64</v>
      </c>
      <c r="B33" s="12" t="n">
        <v>7000</v>
      </c>
      <c r="E33" s="2" t="s">
        <v>65</v>
      </c>
    </row>
    <row r="34" customFormat="false" ht="15" hidden="false" customHeight="false" outlineLevel="0" collapsed="false">
      <c r="A34" s="5" t="s">
        <v>66</v>
      </c>
      <c r="B34" s="12" t="n">
        <v>2000</v>
      </c>
      <c r="E34" s="2" t="s">
        <v>67</v>
      </c>
    </row>
    <row r="35" customFormat="false" ht="15" hidden="false" customHeight="false" outlineLevel="0" collapsed="false">
      <c r="A35" s="5" t="s">
        <v>68</v>
      </c>
      <c r="B35" s="12" t="n">
        <v>250</v>
      </c>
      <c r="E35" s="2" t="s">
        <v>69</v>
      </c>
    </row>
    <row r="37" customFormat="false" ht="15" hidden="false" customHeight="false" outlineLevel="0" collapsed="false">
      <c r="A37" s="3" t="s">
        <v>70</v>
      </c>
    </row>
    <row r="38" customFormat="false" ht="15" hidden="false" customHeight="false" outlineLevel="0" collapsed="false">
      <c r="A38" s="5" t="s">
        <v>71</v>
      </c>
      <c r="B38" s="12" t="n">
        <v>420000</v>
      </c>
    </row>
    <row r="39" customFormat="false" ht="15" hidden="false" customHeight="false" outlineLevel="0" collapsed="false">
      <c r="A39" s="5" t="s">
        <v>72</v>
      </c>
      <c r="B39" s="12" t="n">
        <v>180000</v>
      </c>
    </row>
    <row r="40" customFormat="false" ht="15" hidden="false" customHeight="false" outlineLevel="0" collapsed="false">
      <c r="A40" s="5" t="s">
        <v>73</v>
      </c>
      <c r="B40" s="12" t="n">
        <v>40000</v>
      </c>
    </row>
    <row r="41" customFormat="false" ht="15" hidden="false" customHeight="false" outlineLevel="0" collapsed="false">
      <c r="A41" s="15" t="s">
        <v>74</v>
      </c>
      <c r="B41" s="16" t="n">
        <f aca="false">SUM(B38:B40)</f>
        <v>640000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9" min="2" style="0" width="10"/>
  </cols>
  <sheetData>
    <row r="1" customFormat="false" ht="15" hidden="false" customHeight="false" outlineLevel="0" collapsed="false">
      <c r="A1" s="3" t="s">
        <v>75</v>
      </c>
    </row>
    <row r="2" customFormat="false" ht="15" hidden="false" customHeight="false" outlineLevel="0" collapsed="false">
      <c r="A2" s="2" t="s">
        <v>76</v>
      </c>
    </row>
    <row r="4" customFormat="false" ht="15" hidden="false" customHeight="false" outlineLevel="0" collapsed="false">
      <c r="A4" s="17" t="s">
        <v>77</v>
      </c>
      <c r="B4" s="17" t="n">
        <v>1</v>
      </c>
      <c r="C4" s="17" t="n">
        <v>2</v>
      </c>
      <c r="D4" s="17" t="n">
        <v>3</v>
      </c>
      <c r="E4" s="17" t="n">
        <v>4</v>
      </c>
      <c r="F4" s="17" t="n">
        <v>5</v>
      </c>
      <c r="G4" s="17" t="n">
        <v>6</v>
      </c>
      <c r="H4" s="17" t="n">
        <v>7</v>
      </c>
      <c r="I4" s="17" t="n">
        <v>8</v>
      </c>
      <c r="J4" s="17" t="n">
        <v>9</v>
      </c>
      <c r="K4" s="17" t="n">
        <v>10</v>
      </c>
      <c r="L4" s="17" t="n">
        <v>11</v>
      </c>
      <c r="M4" s="17" t="n">
        <v>12</v>
      </c>
      <c r="N4" s="17" t="n">
        <v>13</v>
      </c>
      <c r="O4" s="17" t="n">
        <v>14</v>
      </c>
      <c r="P4" s="17" t="n">
        <v>15</v>
      </c>
      <c r="Q4" s="17" t="n">
        <v>16</v>
      </c>
      <c r="R4" s="17" t="n">
        <v>17</v>
      </c>
      <c r="S4" s="17" t="n">
        <v>18</v>
      </c>
      <c r="T4" s="17" t="n">
        <v>19</v>
      </c>
      <c r="U4" s="17" t="n">
        <v>20</v>
      </c>
      <c r="V4" s="17" t="n">
        <v>21</v>
      </c>
      <c r="W4" s="17" t="n">
        <v>22</v>
      </c>
      <c r="X4" s="17" t="n">
        <v>23</v>
      </c>
      <c r="Y4" s="17" t="n">
        <v>24</v>
      </c>
      <c r="Z4" s="17" t="n">
        <v>25</v>
      </c>
      <c r="AA4" s="17" t="n">
        <v>26</v>
      </c>
      <c r="AB4" s="17" t="n">
        <v>27</v>
      </c>
      <c r="AC4" s="17" t="n">
        <v>28</v>
      </c>
      <c r="AD4" s="17" t="n">
        <v>29</v>
      </c>
      <c r="AE4" s="17" t="n">
        <v>30</v>
      </c>
      <c r="AF4" s="17" t="n">
        <v>31</v>
      </c>
      <c r="AG4" s="17" t="n">
        <v>32</v>
      </c>
      <c r="AH4" s="17" t="n">
        <v>33</v>
      </c>
      <c r="AI4" s="17" t="n">
        <v>34</v>
      </c>
      <c r="AJ4" s="17" t="n">
        <v>35</v>
      </c>
      <c r="AK4" s="17" t="n">
        <v>36</v>
      </c>
    </row>
    <row r="5" customFormat="false" ht="15" hidden="false" customHeight="false" outlineLevel="0" collapsed="false">
      <c r="A5" s="17" t="s">
        <v>78</v>
      </c>
      <c r="B5" s="17" t="s">
        <v>79</v>
      </c>
      <c r="C5" s="17" t="s">
        <v>79</v>
      </c>
      <c r="D5" s="17" t="s">
        <v>79</v>
      </c>
      <c r="E5" s="17" t="s">
        <v>79</v>
      </c>
      <c r="F5" s="17" t="s">
        <v>79</v>
      </c>
      <c r="G5" s="17" t="s">
        <v>79</v>
      </c>
      <c r="H5" s="17" t="s">
        <v>79</v>
      </c>
      <c r="I5" s="17" t="s">
        <v>79</v>
      </c>
      <c r="J5" s="17" t="s">
        <v>79</v>
      </c>
      <c r="K5" s="17" t="s">
        <v>79</v>
      </c>
      <c r="L5" s="17" t="s">
        <v>79</v>
      </c>
      <c r="M5" s="17" t="s">
        <v>79</v>
      </c>
      <c r="N5" s="17" t="s">
        <v>80</v>
      </c>
      <c r="O5" s="17" t="s">
        <v>80</v>
      </c>
      <c r="P5" s="17" t="s">
        <v>80</v>
      </c>
      <c r="Q5" s="17" t="s">
        <v>80</v>
      </c>
      <c r="R5" s="17" t="s">
        <v>80</v>
      </c>
      <c r="S5" s="17" t="s">
        <v>80</v>
      </c>
      <c r="T5" s="17" t="s">
        <v>80</v>
      </c>
      <c r="U5" s="17" t="s">
        <v>80</v>
      </c>
      <c r="V5" s="17" t="s">
        <v>80</v>
      </c>
      <c r="W5" s="17" t="s">
        <v>80</v>
      </c>
      <c r="X5" s="17" t="s">
        <v>80</v>
      </c>
      <c r="Y5" s="17" t="s">
        <v>80</v>
      </c>
      <c r="Z5" s="17" t="s">
        <v>81</v>
      </c>
      <c r="AA5" s="17" t="s">
        <v>81</v>
      </c>
      <c r="AB5" s="17" t="s">
        <v>81</v>
      </c>
      <c r="AC5" s="17" t="s">
        <v>81</v>
      </c>
      <c r="AD5" s="17" t="s">
        <v>81</v>
      </c>
      <c r="AE5" s="17" t="s">
        <v>81</v>
      </c>
      <c r="AF5" s="17" t="s">
        <v>81</v>
      </c>
      <c r="AG5" s="17" t="s">
        <v>81</v>
      </c>
      <c r="AH5" s="17" t="s">
        <v>81</v>
      </c>
      <c r="AI5" s="17" t="s">
        <v>81</v>
      </c>
      <c r="AJ5" s="17" t="s">
        <v>81</v>
      </c>
      <c r="AK5" s="17" t="s">
        <v>81</v>
      </c>
    </row>
    <row r="7" customFormat="false" ht="15" hidden="false" customHeight="false" outlineLevel="0" collapsed="false">
      <c r="A7" s="5" t="s">
        <v>82</v>
      </c>
      <c r="B7" s="18" t="n">
        <f aca="false">Assumptions!B12</f>
        <v>60</v>
      </c>
      <c r="C7" s="19" t="n">
        <f aca="false">B10</f>
        <v>66.8611542302563</v>
      </c>
      <c r="D7" s="19" t="n">
        <f aca="false">C10</f>
        <v>74.5068990833687</v>
      </c>
      <c r="E7" s="19" t="n">
        <f aca="false">D10</f>
        <v>83.0269545138543</v>
      </c>
      <c r="F7" s="19" t="n">
        <f aca="false">E10</f>
        <v>92.5213001836548</v>
      </c>
      <c r="G7" s="19" t="n">
        <f aca="false">F10</f>
        <v>103.101348686053</v>
      </c>
      <c r="H7" s="19" t="n">
        <f aca="false">G10</f>
        <v>114.891252930761</v>
      </c>
      <c r="I7" s="19" t="n">
        <f aca="false">H10</f>
        <v>128.02936303185</v>
      </c>
      <c r="J7" s="19" t="n">
        <f aca="false">I10</f>
        <v>142.669849794566</v>
      </c>
      <c r="K7" s="19" t="n">
        <f aca="false">J10</f>
        <v>158.984513852033</v>
      </c>
      <c r="L7" s="19" t="n">
        <f aca="false">K10</f>
        <v>177.164801681385</v>
      </c>
      <c r="M7" s="19" t="n">
        <f aca="false">L10</f>
        <v>197.424052156531</v>
      </c>
      <c r="N7" s="19" t="n">
        <f aca="false">M10</f>
        <v>220</v>
      </c>
      <c r="O7" s="19" t="n">
        <f aca="false">N10</f>
        <v>232.180048878437</v>
      </c>
      <c r="P7" s="19" t="n">
        <f aca="false">O10</f>
        <v>245.034432259969</v>
      </c>
      <c r="Q7" s="19" t="n">
        <f aca="false">P10</f>
        <v>258.600483904634</v>
      </c>
      <c r="R7" s="19" t="n">
        <f aca="false">Q10</f>
        <v>272.917604513479</v>
      </c>
      <c r="S7" s="19" t="n">
        <f aca="false">R10</f>
        <v>288.027376162388</v>
      </c>
      <c r="T7" s="19" t="n">
        <f aca="false">S10</f>
        <v>303.973683071413</v>
      </c>
      <c r="U7" s="19" t="n">
        <f aca="false">T10</f>
        <v>320.80283906036</v>
      </c>
      <c r="V7" s="19" t="n">
        <f aca="false">U10</f>
        <v>338.563722060798</v>
      </c>
      <c r="W7" s="19" t="n">
        <f aca="false">V10</f>
        <v>357.307916075188</v>
      </c>
      <c r="X7" s="19" t="n">
        <f aca="false">W10</f>
        <v>377.089860995407</v>
      </c>
      <c r="Y7" s="19" t="n">
        <f aca="false">X10</f>
        <v>397.967010715801</v>
      </c>
      <c r="Z7" s="19" t="n">
        <f aca="false">Y10</f>
        <v>420</v>
      </c>
      <c r="AA7" s="19" t="n">
        <f aca="false">Z10</f>
        <v>432.670999705012</v>
      </c>
      <c r="AB7" s="19" t="n">
        <f aca="false">AA10</f>
        <v>445.724271394606</v>
      </c>
      <c r="AC7" s="19" t="n">
        <f aca="false">AB10</f>
        <v>459.171347850219</v>
      </c>
      <c r="AD7" s="19" t="n">
        <f aca="false">AC10</f>
        <v>473.024109786314</v>
      </c>
      <c r="AE7" s="19" t="n">
        <f aca="false">AD10</f>
        <v>487.294796347186</v>
      </c>
      <c r="AF7" s="19" t="n">
        <f aca="false">AE10</f>
        <v>501.996015920445</v>
      </c>
      <c r="AG7" s="19" t="n">
        <f aca="false">AF10</f>
        <v>517.140757276743</v>
      </c>
      <c r="AH7" s="19" t="n">
        <f aca="false">AG10</f>
        <v>532.74240104556</v>
      </c>
      <c r="AI7" s="19" t="n">
        <f aca="false">AH10</f>
        <v>548.814731537216</v>
      </c>
      <c r="AJ7" s="19" t="n">
        <f aca="false">AI10</f>
        <v>565.371948921536</v>
      </c>
      <c r="AK7" s="19" t="n">
        <f aca="false">AJ10</f>
        <v>582.428681773933</v>
      </c>
    </row>
    <row r="8" customFormat="false" ht="15" hidden="false" customHeight="false" outlineLevel="0" collapsed="false">
      <c r="A8" s="5" t="s">
        <v>83</v>
      </c>
      <c r="B8" s="19" t="n">
        <f aca="false">B7*(Assumptions!B$14+Assumptions!$B$15)</f>
        <v>9.86115423025632</v>
      </c>
      <c r="C8" s="19" t="n">
        <f aca="false">C7*(Assumptions!B$14+Assumptions!$B$15)</f>
        <v>10.9888025646252</v>
      </c>
      <c r="D8" s="19" t="n">
        <f aca="false">D7*(Assumptions!B$14+Assumptions!$B$15)</f>
        <v>12.245400384654</v>
      </c>
      <c r="E8" s="19" t="n">
        <f aca="false">E7*(Assumptions!B$14+Assumptions!$B$15)</f>
        <v>13.6456933954932</v>
      </c>
      <c r="F8" s="19" t="n">
        <f aca="false">F7*(Assumptions!B$14+Assumptions!$B$15)</f>
        <v>15.206113511581</v>
      </c>
      <c r="G8" s="19" t="n">
        <f aca="false">G7*(Assumptions!B$14+Assumptions!$B$15)</f>
        <v>16.9449716790101</v>
      </c>
      <c r="H8" s="19" t="n">
        <f aca="false">H7*(Assumptions!B$14+Assumptions!$B$15)</f>
        <v>18.882672747627</v>
      </c>
      <c r="I8" s="19" t="n">
        <f aca="false">I7*(Assumptions!B$14+Assumptions!$B$15)</f>
        <v>21.0419549143091</v>
      </c>
      <c r="J8" s="19" t="n">
        <f aca="false">J7*(Assumptions!B$14+Assumptions!$B$15)</f>
        <v>23.4481565471953</v>
      </c>
      <c r="K8" s="19" t="n">
        <f aca="false">K7*(Assumptions!B$14+Assumptions!$B$15)</f>
        <v>26.1295135219537</v>
      </c>
      <c r="L8" s="19" t="n">
        <f aca="false">L7*(Assumptions!B$14+Assumptions!$B$15)</f>
        <v>29.1174905592152</v>
      </c>
      <c r="M8" s="19" t="n">
        <f aca="false">M7*(Assumptions!B$14+Assumptions!$B$15)</f>
        <v>32.4471504512954</v>
      </c>
      <c r="N8" s="19" t="n">
        <f aca="false">N7*(Assumptions!C$14+Assumptions!$B$15)</f>
        <v>23.1800488784365</v>
      </c>
      <c r="O8" s="19" t="n">
        <f aca="false">O7*(Assumptions!C$14+Assumptions!$B$15)</f>
        <v>24.4633858254542</v>
      </c>
      <c r="P8" s="19" t="n">
        <f aca="false">P7*(Assumptions!C$14+Assumptions!$B$15)</f>
        <v>25.8177732576637</v>
      </c>
      <c r="Q8" s="19" t="n">
        <f aca="false">Q7*(Assumptions!C$14+Assumptions!$B$15)</f>
        <v>27.2471448040761</v>
      </c>
      <c r="R8" s="19" t="n">
        <f aca="false">R7*(Assumptions!C$14+Assumptions!$B$15)</f>
        <v>28.7556518745829</v>
      </c>
      <c r="S8" s="19" t="n">
        <f aca="false">S7*(Assumptions!C$14+Assumptions!$B$15)</f>
        <v>30.3476757171452</v>
      </c>
      <c r="T8" s="19" t="n">
        <f aca="false">T7*(Assumptions!C$14+Assumptions!$B$15)</f>
        <v>32.0278401425169</v>
      </c>
      <c r="U8" s="19" t="n">
        <f aca="false">U7*(Assumptions!C$14+Assumptions!$B$15)</f>
        <v>33.801024953456</v>
      </c>
      <c r="V8" s="19" t="n">
        <f aca="false">V7*(Assumptions!C$14+Assumptions!$B$15)</f>
        <v>35.6723801174303</v>
      </c>
      <c r="W8" s="19" t="n">
        <f aca="false">W7*(Assumptions!C$14+Assumptions!$B$15)</f>
        <v>37.6473407239779</v>
      </c>
      <c r="X8" s="19" t="n">
        <f aca="false">X7*(Assumptions!C$14+Assumptions!$B$15)</f>
        <v>39.7316427701652</v>
      </c>
      <c r="Y8" s="19" t="n">
        <f aca="false">Y7*(Assumptions!C$14+Assumptions!$B$15)</f>
        <v>41.9313398199888</v>
      </c>
      <c r="Z8" s="19" t="n">
        <f aca="false">Z7*(Assumptions!D$14+Assumptions!$B$15)</f>
        <v>33.6709997050119</v>
      </c>
      <c r="AA8" s="19" t="n">
        <f aca="false">AA7*(Assumptions!D$14+Assumptions!$B$15)</f>
        <v>34.6868216748444</v>
      </c>
      <c r="AB8" s="19" t="n">
        <f aca="false">AB7*(Assumptions!D$14+Assumptions!$B$15)</f>
        <v>35.7332900253438</v>
      </c>
      <c r="AC8" s="19" t="n">
        <f aca="false">AC7*(Assumptions!D$14+Assumptions!$B$15)</f>
        <v>36.8113293286062</v>
      </c>
      <c r="AD8" s="19" t="n">
        <f aca="false">AD7*(Assumptions!D$14+Assumptions!$B$15)</f>
        <v>37.9218920501869</v>
      </c>
      <c r="AE8" s="19" t="n">
        <f aca="false">AE7*(Assumptions!D$14+Assumptions!$B$15)</f>
        <v>39.0659593906188</v>
      </c>
      <c r="AF8" s="19" t="n">
        <f aca="false">AF7*(Assumptions!D$14+Assumptions!$B$15)</f>
        <v>40.2445421523201</v>
      </c>
      <c r="AG8" s="19" t="n">
        <f aca="false">AG7*(Assumptions!D$14+Assumptions!$B$15)</f>
        <v>41.4586816326543</v>
      </c>
      <c r="AH8" s="19" t="n">
        <f aca="false">AH7*(Assumptions!D$14+Assumptions!$B$15)</f>
        <v>42.7094505439342</v>
      </c>
      <c r="AI8" s="19" t="n">
        <f aca="false">AI7*(Assumptions!D$14+Assumptions!$B$15)</f>
        <v>43.9979539611804</v>
      </c>
      <c r="AJ8" s="19" t="n">
        <f aca="false">AJ7*(Assumptions!D$14+Assumptions!$B$15)</f>
        <v>45.3253302984738</v>
      </c>
      <c r="AK8" s="19" t="n">
        <f aca="false">AK7*(Assumptions!D$14+Assumptions!$B$15)</f>
        <v>46.6927523147632</v>
      </c>
    </row>
    <row r="9" customFormat="false" ht="15" hidden="false" customHeight="false" outlineLevel="0" collapsed="false">
      <c r="A9" s="5" t="s">
        <v>84</v>
      </c>
      <c r="B9" s="19" t="n">
        <f aca="false">-B7*Assumptions!$B$15</f>
        <v>-3</v>
      </c>
      <c r="C9" s="19" t="n">
        <f aca="false">-C7*Assumptions!$B$15</f>
        <v>-3.34305771151282</v>
      </c>
      <c r="D9" s="19" t="n">
        <f aca="false">-D7*Assumptions!$B$15</f>
        <v>-3.72534495416844</v>
      </c>
      <c r="E9" s="19" t="n">
        <f aca="false">-E7*Assumptions!$B$15</f>
        <v>-4.15134772569272</v>
      </c>
      <c r="F9" s="19" t="n">
        <f aca="false">-F7*Assumptions!$B$15</f>
        <v>-4.62606500918274</v>
      </c>
      <c r="G9" s="19" t="n">
        <f aca="false">-G7*Assumptions!$B$15</f>
        <v>-5.15506743430266</v>
      </c>
      <c r="H9" s="19" t="n">
        <f aca="false">-H7*Assumptions!$B$15</f>
        <v>-5.74456264653803</v>
      </c>
      <c r="I9" s="19" t="n">
        <f aca="false">-I7*Assumptions!$B$15</f>
        <v>-6.40146815159248</v>
      </c>
      <c r="J9" s="19" t="n">
        <f aca="false">-J7*Assumptions!$B$15</f>
        <v>-7.13349248972831</v>
      </c>
      <c r="K9" s="19" t="n">
        <f aca="false">-K7*Assumptions!$B$15</f>
        <v>-7.94922569260166</v>
      </c>
      <c r="L9" s="19" t="n">
        <f aca="false">-L7*Assumptions!$B$15</f>
        <v>-8.85824008406926</v>
      </c>
      <c r="M9" s="19" t="n">
        <f aca="false">-M7*Assumptions!$B$15</f>
        <v>-9.87120260782656</v>
      </c>
      <c r="N9" s="19" t="n">
        <f aca="false">-N7*Assumptions!$B$15</f>
        <v>-11</v>
      </c>
      <c r="O9" s="19" t="n">
        <f aca="false">-O7*Assumptions!$B$15</f>
        <v>-11.6090024439218</v>
      </c>
      <c r="P9" s="19" t="n">
        <f aca="false">-P7*Assumptions!$B$15</f>
        <v>-12.2517216129984</v>
      </c>
      <c r="Q9" s="19" t="n">
        <f aca="false">-Q7*Assumptions!$B$15</f>
        <v>-12.9300241952317</v>
      </c>
      <c r="R9" s="19" t="n">
        <f aca="false">-R7*Assumptions!$B$15</f>
        <v>-13.6458802256739</v>
      </c>
      <c r="S9" s="19" t="n">
        <f aca="false">-S7*Assumptions!$B$15</f>
        <v>-14.4013688081194</v>
      </c>
      <c r="T9" s="19" t="n">
        <f aca="false">-T7*Assumptions!$B$15</f>
        <v>-15.1986841535707</v>
      </c>
      <c r="U9" s="19" t="n">
        <f aca="false">-U7*Assumptions!$B$15</f>
        <v>-16.040141953018</v>
      </c>
      <c r="V9" s="19" t="n">
        <f aca="false">-V7*Assumptions!$B$15</f>
        <v>-16.9281861030399</v>
      </c>
      <c r="W9" s="19" t="n">
        <f aca="false">-W7*Assumptions!$B$15</f>
        <v>-17.8653958037594</v>
      </c>
      <c r="X9" s="19" t="n">
        <f aca="false">-X7*Assumptions!$B$15</f>
        <v>-18.8544930497703</v>
      </c>
      <c r="Y9" s="19" t="n">
        <f aca="false">-Y7*Assumptions!$B$15</f>
        <v>-19.8983505357901</v>
      </c>
      <c r="Z9" s="19" t="n">
        <f aca="false">-Z7*Assumptions!$B$15</f>
        <v>-21</v>
      </c>
      <c r="AA9" s="19" t="n">
        <f aca="false">-AA7*Assumptions!$B$15</f>
        <v>-21.6335499852506</v>
      </c>
      <c r="AB9" s="19" t="n">
        <f aca="false">-AB7*Assumptions!$B$15</f>
        <v>-22.2862135697303</v>
      </c>
      <c r="AC9" s="19" t="n">
        <f aca="false">-AC7*Assumptions!$B$15</f>
        <v>-22.958567392511</v>
      </c>
      <c r="AD9" s="19" t="n">
        <f aca="false">-AD7*Assumptions!$B$15</f>
        <v>-23.6512054893157</v>
      </c>
      <c r="AE9" s="19" t="n">
        <f aca="false">-AE7*Assumptions!$B$15</f>
        <v>-24.3647398173593</v>
      </c>
      <c r="AF9" s="19" t="n">
        <f aca="false">-AF7*Assumptions!$B$15</f>
        <v>-25.0998007960223</v>
      </c>
      <c r="AG9" s="19" t="n">
        <f aca="false">-AG7*Assumptions!$B$15</f>
        <v>-25.8570378638372</v>
      </c>
      <c r="AH9" s="19" t="n">
        <f aca="false">-AH7*Assumptions!$B$15</f>
        <v>-26.637120052278</v>
      </c>
      <c r="AI9" s="19" t="n">
        <f aca="false">-AI7*Assumptions!$B$15</f>
        <v>-27.4407365768608</v>
      </c>
      <c r="AJ9" s="19" t="n">
        <f aca="false">-AJ7*Assumptions!$B$15</f>
        <v>-28.2685974460768</v>
      </c>
      <c r="AK9" s="19" t="n">
        <f aca="false">-AK7*Assumptions!$B$15</f>
        <v>-29.1214340886967</v>
      </c>
    </row>
    <row r="10" customFormat="false" ht="15" hidden="false" customHeight="false" outlineLevel="0" collapsed="false">
      <c r="A10" s="15" t="s">
        <v>85</v>
      </c>
      <c r="B10" s="20" t="n">
        <f aca="false">B7+B8+B9</f>
        <v>66.8611542302563</v>
      </c>
      <c r="C10" s="20" t="n">
        <f aca="false">C7+C8+C9</f>
        <v>74.5068990833687</v>
      </c>
      <c r="D10" s="20" t="n">
        <f aca="false">D7+D8+D9</f>
        <v>83.0269545138543</v>
      </c>
      <c r="E10" s="20" t="n">
        <f aca="false">E7+E8+E9</f>
        <v>92.5213001836548</v>
      </c>
      <c r="F10" s="20" t="n">
        <f aca="false">F7+F8+F9</f>
        <v>103.101348686053</v>
      </c>
      <c r="G10" s="20" t="n">
        <f aca="false">G7+G8+G9</f>
        <v>114.891252930761</v>
      </c>
      <c r="H10" s="20" t="n">
        <f aca="false">H7+H8+H9</f>
        <v>128.02936303185</v>
      </c>
      <c r="I10" s="20" t="n">
        <f aca="false">I7+I8+I9</f>
        <v>142.669849794566</v>
      </c>
      <c r="J10" s="20" t="n">
        <f aca="false">J7+J8+J9</f>
        <v>158.984513852033</v>
      </c>
      <c r="K10" s="20" t="n">
        <f aca="false">K7+K8+K9</f>
        <v>177.164801681385</v>
      </c>
      <c r="L10" s="20" t="n">
        <f aca="false">L7+L8+L9</f>
        <v>197.424052156531</v>
      </c>
      <c r="M10" s="20" t="n">
        <f aca="false">M7+M8+M9</f>
        <v>220</v>
      </c>
      <c r="N10" s="20" t="n">
        <f aca="false">N7+N8+N9</f>
        <v>232.180048878437</v>
      </c>
      <c r="O10" s="20" t="n">
        <f aca="false">O7+O8+O9</f>
        <v>245.034432259969</v>
      </c>
      <c r="P10" s="20" t="n">
        <f aca="false">P7+P8+P9</f>
        <v>258.600483904634</v>
      </c>
      <c r="Q10" s="20" t="n">
        <f aca="false">Q7+Q8+Q9</f>
        <v>272.917604513479</v>
      </c>
      <c r="R10" s="20" t="n">
        <f aca="false">R7+R8+R9</f>
        <v>288.027376162388</v>
      </c>
      <c r="S10" s="20" t="n">
        <f aca="false">S7+S8+S9</f>
        <v>303.973683071413</v>
      </c>
      <c r="T10" s="20" t="n">
        <f aca="false">T7+T8+T9</f>
        <v>320.80283906036</v>
      </c>
      <c r="U10" s="20" t="n">
        <f aca="false">U7+U8+U9</f>
        <v>338.563722060798</v>
      </c>
      <c r="V10" s="20" t="n">
        <f aca="false">V7+V8+V9</f>
        <v>357.307916075188</v>
      </c>
      <c r="W10" s="20" t="n">
        <f aca="false">W7+W8+W9</f>
        <v>377.089860995407</v>
      </c>
      <c r="X10" s="20" t="n">
        <f aca="false">X7+X8+X9</f>
        <v>397.967010715801</v>
      </c>
      <c r="Y10" s="20" t="n">
        <f aca="false">Y7+Y8+Y9</f>
        <v>420</v>
      </c>
      <c r="Z10" s="20" t="n">
        <f aca="false">Z7+Z8+Z9</f>
        <v>432.670999705012</v>
      </c>
      <c r="AA10" s="20" t="n">
        <f aca="false">AA7+AA8+AA9</f>
        <v>445.724271394606</v>
      </c>
      <c r="AB10" s="20" t="n">
        <f aca="false">AB7+AB8+AB9</f>
        <v>459.171347850219</v>
      </c>
      <c r="AC10" s="20" t="n">
        <f aca="false">AC7+AC8+AC9</f>
        <v>473.024109786314</v>
      </c>
      <c r="AD10" s="20" t="n">
        <f aca="false">AD7+AD8+AD9</f>
        <v>487.294796347186</v>
      </c>
      <c r="AE10" s="20" t="n">
        <f aca="false">AE7+AE8+AE9</f>
        <v>501.996015920445</v>
      </c>
      <c r="AF10" s="20" t="n">
        <f aca="false">AF7+AF8+AF9</f>
        <v>517.140757276743</v>
      </c>
      <c r="AG10" s="20" t="n">
        <f aca="false">AG7+AG8+AG9</f>
        <v>532.74240104556</v>
      </c>
      <c r="AH10" s="20" t="n">
        <f aca="false">AH7+AH8+AH9</f>
        <v>548.814731537216</v>
      </c>
      <c r="AI10" s="20" t="n">
        <f aca="false">AI7+AI8+AI9</f>
        <v>565.371948921536</v>
      </c>
      <c r="AJ10" s="20" t="n">
        <f aca="false">AJ7+AJ8+AJ9</f>
        <v>582.428681773933</v>
      </c>
      <c r="AK10" s="20" t="n">
        <f aca="false">AK7+AK8+AK9</f>
        <v>600</v>
      </c>
    </row>
    <row r="12" customFormat="false" ht="15" hidden="false" customHeight="false" outlineLevel="0" collapsed="false">
      <c r="A12" s="5" t="s">
        <v>86</v>
      </c>
      <c r="B12" s="19" t="n">
        <f aca="false">B10*Assumptions!$B$20</f>
        <v>20.0583462690769</v>
      </c>
      <c r="C12" s="19" t="n">
        <f aca="false">C10*Assumptions!$B$20</f>
        <v>22.3520697250106</v>
      </c>
      <c r="D12" s="19" t="n">
        <f aca="false">D10*Assumptions!$B$20</f>
        <v>24.9080863541563</v>
      </c>
      <c r="E12" s="19" t="n">
        <f aca="false">E10*Assumptions!$B$20</f>
        <v>27.7563900550964</v>
      </c>
      <c r="F12" s="19" t="n">
        <f aca="false">F10*Assumptions!$B$20</f>
        <v>30.9304046058159</v>
      </c>
      <c r="G12" s="19" t="n">
        <f aca="false">G10*Assumptions!$B$20</f>
        <v>34.4673758792282</v>
      </c>
      <c r="H12" s="19" t="n">
        <f aca="false">H10*Assumptions!$B$20</f>
        <v>38.4088089095549</v>
      </c>
      <c r="I12" s="19" t="n">
        <f aca="false">I10*Assumptions!$B$20</f>
        <v>42.8009549383698</v>
      </c>
      <c r="J12" s="19" t="n">
        <f aca="false">J10*Assumptions!$B$20</f>
        <v>47.69535415561</v>
      </c>
      <c r="K12" s="19" t="n">
        <f aca="false">K10*Assumptions!$B$20</f>
        <v>53.1494405044156</v>
      </c>
      <c r="L12" s="19" t="n">
        <f aca="false">L10*Assumptions!$B$20</f>
        <v>59.2272156469594</v>
      </c>
      <c r="M12" s="19" t="n">
        <f aca="false">M10*Assumptions!$B$20</f>
        <v>66</v>
      </c>
      <c r="N12" s="19" t="n">
        <f aca="false">N10*Assumptions!$B$20</f>
        <v>69.654014663531</v>
      </c>
      <c r="O12" s="19" t="n">
        <f aca="false">O10*Assumptions!$B$20</f>
        <v>73.5103296779907</v>
      </c>
      <c r="P12" s="19" t="n">
        <f aca="false">P10*Assumptions!$B$20</f>
        <v>77.5801451713903</v>
      </c>
      <c r="Q12" s="19" t="n">
        <f aca="false">Q10*Assumptions!$B$20</f>
        <v>81.8752813540436</v>
      </c>
      <c r="R12" s="19" t="n">
        <f aca="false">R10*Assumptions!$B$20</f>
        <v>86.4082128487163</v>
      </c>
      <c r="S12" s="19" t="n">
        <f aca="false">S10*Assumptions!$B$20</f>
        <v>91.192104921424</v>
      </c>
      <c r="T12" s="19" t="n">
        <f aca="false">T10*Assumptions!$B$20</f>
        <v>96.2408517181079</v>
      </c>
      <c r="U12" s="19" t="n">
        <f aca="false">U10*Assumptions!$B$20</f>
        <v>101.569116618239</v>
      </c>
      <c r="V12" s="19" t="n">
        <f aca="false">V10*Assumptions!$B$20</f>
        <v>107.192374822556</v>
      </c>
      <c r="W12" s="19" t="n">
        <f aca="false">W10*Assumptions!$B$20</f>
        <v>113.126958298622</v>
      </c>
      <c r="X12" s="19" t="n">
        <f aca="false">X10*Assumptions!$B$20</f>
        <v>119.39010321474</v>
      </c>
      <c r="Y12" s="19" t="n">
        <f aca="false">Y10*Assumptions!$B$20</f>
        <v>126</v>
      </c>
      <c r="Z12" s="19" t="n">
        <f aca="false">Z10*Assumptions!$B$20</f>
        <v>129.801299911504</v>
      </c>
      <c r="AA12" s="19" t="n">
        <f aca="false">AA10*Assumptions!$B$20</f>
        <v>133.717281418382</v>
      </c>
      <c r="AB12" s="19" t="n">
        <f aca="false">AB10*Assumptions!$B$20</f>
        <v>137.751404355066</v>
      </c>
      <c r="AC12" s="19" t="n">
        <f aca="false">AC10*Assumptions!$B$20</f>
        <v>141.907232935894</v>
      </c>
      <c r="AD12" s="19" t="n">
        <f aca="false">AD10*Assumptions!$B$20</f>
        <v>146.188438904156</v>
      </c>
      <c r="AE12" s="19" t="n">
        <f aca="false">AE10*Assumptions!$B$20</f>
        <v>150.598804776134</v>
      </c>
      <c r="AF12" s="19" t="n">
        <f aca="false">AF10*Assumptions!$B$20</f>
        <v>155.142227183023</v>
      </c>
      <c r="AG12" s="19" t="n">
        <f aca="false">AG10*Assumptions!$B$20</f>
        <v>159.822720313668</v>
      </c>
      <c r="AH12" s="19" t="n">
        <f aca="false">AH10*Assumptions!$B$20</f>
        <v>164.644419461165</v>
      </c>
      <c r="AI12" s="19" t="n">
        <f aca="false">AI10*Assumptions!$B$20</f>
        <v>169.611584676461</v>
      </c>
      <c r="AJ12" s="19" t="n">
        <f aca="false">AJ10*Assumptions!$B$20</f>
        <v>174.72860453218</v>
      </c>
      <c r="AK12" s="19" t="n">
        <f aca="false">AK10*Assumptions!$B$20</f>
        <v>180</v>
      </c>
    </row>
    <row r="13" customFormat="false" ht="15" hidden="false" customHeight="false" outlineLevel="0" collapsed="false">
      <c r="A13" s="5" t="s">
        <v>87</v>
      </c>
      <c r="B13" s="19" t="n">
        <f aca="false">B10-B12</f>
        <v>46.8028079611794</v>
      </c>
      <c r="C13" s="19" t="n">
        <f aca="false">C10-C12</f>
        <v>52.1548293583581</v>
      </c>
      <c r="D13" s="19" t="n">
        <f aca="false">D10-D12</f>
        <v>58.118868159698</v>
      </c>
      <c r="E13" s="19" t="n">
        <f aca="false">E10-E12</f>
        <v>64.7649101285584</v>
      </c>
      <c r="F13" s="19" t="n">
        <f aca="false">F10-F12</f>
        <v>72.1709440802372</v>
      </c>
      <c r="G13" s="19" t="n">
        <f aca="false">G10-G12</f>
        <v>80.4238770515324</v>
      </c>
      <c r="H13" s="19" t="n">
        <f aca="false">H10-H12</f>
        <v>89.6205541222947</v>
      </c>
      <c r="I13" s="19" t="n">
        <f aca="false">I10-I12</f>
        <v>99.8688948561963</v>
      </c>
      <c r="J13" s="19" t="n">
        <f aca="false">J10-J12</f>
        <v>111.289159696423</v>
      </c>
      <c r="K13" s="19" t="n">
        <f aca="false">K10-K12</f>
        <v>124.01536117697</v>
      </c>
      <c r="L13" s="19" t="n">
        <f aca="false">L10-L12</f>
        <v>138.196836509572</v>
      </c>
      <c r="M13" s="19" t="n">
        <f aca="false">M10-M12</f>
        <v>154</v>
      </c>
      <c r="N13" s="19" t="n">
        <f aca="false">N10-N12</f>
        <v>162.526034214906</v>
      </c>
      <c r="O13" s="19" t="n">
        <f aca="false">O10-O12</f>
        <v>171.524102581978</v>
      </c>
      <c r="P13" s="19" t="n">
        <f aca="false">P10-P12</f>
        <v>181.020338733244</v>
      </c>
      <c r="Q13" s="19" t="n">
        <f aca="false">Q10-Q12</f>
        <v>191.042323159435</v>
      </c>
      <c r="R13" s="19" t="n">
        <f aca="false">R10-R12</f>
        <v>201.619163313671</v>
      </c>
      <c r="S13" s="19" t="n">
        <f aca="false">S10-S12</f>
        <v>212.781578149989</v>
      </c>
      <c r="T13" s="19" t="n">
        <f aca="false">T10-T12</f>
        <v>224.561987342252</v>
      </c>
      <c r="U13" s="19" t="n">
        <f aca="false">U10-U12</f>
        <v>236.994605442558</v>
      </c>
      <c r="V13" s="19" t="n">
        <f aca="false">V10-V12</f>
        <v>250.115541252632</v>
      </c>
      <c r="W13" s="19" t="n">
        <f aca="false">W10-W12</f>
        <v>263.962902696785</v>
      </c>
      <c r="X13" s="19" t="n">
        <f aca="false">X10-X12</f>
        <v>278.576907501061</v>
      </c>
      <c r="Y13" s="19" t="n">
        <f aca="false">Y10-Y12</f>
        <v>294</v>
      </c>
      <c r="Z13" s="19" t="n">
        <f aca="false">Z10-Z12</f>
        <v>302.869699793508</v>
      </c>
      <c r="AA13" s="19" t="n">
        <f aca="false">AA10-AA12</f>
        <v>312.006989976224</v>
      </c>
      <c r="AB13" s="19" t="n">
        <f aca="false">AB10-AB12</f>
        <v>321.419943495153</v>
      </c>
      <c r="AC13" s="19" t="n">
        <f aca="false">AC10-AC12</f>
        <v>331.11687685042</v>
      </c>
      <c r="AD13" s="19" t="n">
        <f aca="false">AD10-AD12</f>
        <v>341.10635744303</v>
      </c>
      <c r="AE13" s="19" t="n">
        <f aca="false">AE10-AE12</f>
        <v>351.397211144312</v>
      </c>
      <c r="AF13" s="19" t="n">
        <f aca="false">AF10-AF12</f>
        <v>361.99853009372</v>
      </c>
      <c r="AG13" s="19" t="n">
        <f aca="false">AG10-AG12</f>
        <v>372.919680731892</v>
      </c>
      <c r="AH13" s="19" t="n">
        <f aca="false">AH10-AH12</f>
        <v>384.170312076051</v>
      </c>
      <c r="AI13" s="19" t="n">
        <f aca="false">AI10-AI12</f>
        <v>395.760364245075</v>
      </c>
      <c r="AJ13" s="19" t="n">
        <f aca="false">AJ10-AJ12</f>
        <v>407.700077241753</v>
      </c>
      <c r="AK13" s="19" t="n">
        <f aca="false">AK10-AK12</f>
        <v>420</v>
      </c>
    </row>
    <row r="15" customFormat="false" ht="15" hidden="false" customHeight="false" outlineLevel="0" collapsed="false">
      <c r="A15" s="5" t="s">
        <v>88</v>
      </c>
      <c r="B15" s="19" t="n">
        <f aca="false">B10*Assumptions!$B$22</f>
        <v>53.4889233842051</v>
      </c>
      <c r="C15" s="19" t="n">
        <f aca="false">C10*Assumptions!$B$22</f>
        <v>59.605519266695</v>
      </c>
      <c r="D15" s="19" t="n">
        <f aca="false">D10*Assumptions!$B$22</f>
        <v>66.4215636110834</v>
      </c>
      <c r="E15" s="19" t="n">
        <f aca="false">E10*Assumptions!$B$22</f>
        <v>74.0170401469239</v>
      </c>
      <c r="F15" s="19" t="n">
        <f aca="false">F10*Assumptions!$B$22</f>
        <v>82.4810789488425</v>
      </c>
      <c r="G15" s="19" t="n">
        <f aca="false">G10*Assumptions!$B$22</f>
        <v>91.9130023446085</v>
      </c>
      <c r="H15" s="19" t="n">
        <f aca="false">H10*Assumptions!$B$22</f>
        <v>102.42349042548</v>
      </c>
      <c r="I15" s="19" t="n">
        <f aca="false">I10*Assumptions!$B$22</f>
        <v>114.135879835653</v>
      </c>
      <c r="J15" s="19" t="n">
        <f aca="false">J10*Assumptions!$B$22</f>
        <v>127.187611081627</v>
      </c>
      <c r="K15" s="19" t="n">
        <f aca="false">K10*Assumptions!$B$22</f>
        <v>141.731841345108</v>
      </c>
      <c r="L15" s="19" t="n">
        <f aca="false">L10*Assumptions!$B$22</f>
        <v>157.939241725225</v>
      </c>
      <c r="M15" s="19" t="n">
        <f aca="false">M10*Assumptions!$B$22</f>
        <v>176</v>
      </c>
      <c r="N15" s="19" t="n">
        <f aca="false">N10*Assumptions!$B$22</f>
        <v>185.744039102749</v>
      </c>
      <c r="O15" s="19" t="n">
        <f aca="false">O10*Assumptions!$B$22</f>
        <v>196.027545807975</v>
      </c>
      <c r="P15" s="19" t="n">
        <f aca="false">P10*Assumptions!$B$22</f>
        <v>206.880387123707</v>
      </c>
      <c r="Q15" s="19" t="n">
        <f aca="false">Q10*Assumptions!$B$22</f>
        <v>218.334083610783</v>
      </c>
      <c r="R15" s="19" t="n">
        <f aca="false">R10*Assumptions!$B$22</f>
        <v>230.42190092991</v>
      </c>
      <c r="S15" s="19" t="n">
        <f aca="false">S10*Assumptions!$B$22</f>
        <v>243.178946457131</v>
      </c>
      <c r="T15" s="19" t="n">
        <f aca="false">T10*Assumptions!$B$22</f>
        <v>256.642271248288</v>
      </c>
      <c r="U15" s="19" t="n">
        <f aca="false">U10*Assumptions!$B$22</f>
        <v>270.850977648638</v>
      </c>
      <c r="V15" s="19" t="n">
        <f aca="false">V10*Assumptions!$B$22</f>
        <v>285.846332860151</v>
      </c>
      <c r="W15" s="19" t="n">
        <f aca="false">W10*Assumptions!$B$22</f>
        <v>301.671888796325</v>
      </c>
      <c r="X15" s="19" t="n">
        <f aca="false">X10*Assumptions!$B$22</f>
        <v>318.373608572641</v>
      </c>
      <c r="Y15" s="19" t="n">
        <f aca="false">Y10*Assumptions!$B$22</f>
        <v>336</v>
      </c>
      <c r="Z15" s="19" t="n">
        <f aca="false">Z10*Assumptions!$B$22</f>
        <v>346.13679976401</v>
      </c>
      <c r="AA15" s="19" t="n">
        <f aca="false">AA10*Assumptions!$B$22</f>
        <v>356.579417115685</v>
      </c>
      <c r="AB15" s="19" t="n">
        <f aca="false">AB10*Assumptions!$B$22</f>
        <v>367.337078280175</v>
      </c>
      <c r="AC15" s="19" t="n">
        <f aca="false">AC10*Assumptions!$B$22</f>
        <v>378.419287829052</v>
      </c>
      <c r="AD15" s="19" t="n">
        <f aca="false">AD10*Assumptions!$B$22</f>
        <v>389.835837077748</v>
      </c>
      <c r="AE15" s="19" t="n">
        <f aca="false">AE10*Assumptions!$B$22</f>
        <v>401.596812736356</v>
      </c>
      <c r="AF15" s="19" t="n">
        <f aca="false">AF10*Assumptions!$B$22</f>
        <v>413.712605821394</v>
      </c>
      <c r="AG15" s="19" t="n">
        <f aca="false">AG10*Assumptions!$B$22</f>
        <v>426.193920836448</v>
      </c>
      <c r="AH15" s="19" t="n">
        <f aca="false">AH10*Assumptions!$B$22</f>
        <v>439.051785229773</v>
      </c>
      <c r="AI15" s="19" t="n">
        <f aca="false">AI10*Assumptions!$B$22</f>
        <v>452.297559137229</v>
      </c>
      <c r="AJ15" s="19" t="n">
        <f aca="false">AJ10*Assumptions!$B$22</f>
        <v>465.942945419147</v>
      </c>
      <c r="AK15" s="19" t="n">
        <f aca="false">AK10*Assumptions!$B$22</f>
        <v>480</v>
      </c>
    </row>
    <row r="16" customFormat="false" ht="15" hidden="false" customHeight="false" outlineLevel="0" collapsed="false">
      <c r="A16" s="5" t="s">
        <v>89</v>
      </c>
      <c r="B16" s="21" t="n">
        <f aca="false">B10/100*Assumptions!$B$24</f>
        <v>4.01166925381538</v>
      </c>
      <c r="C16" s="21" t="n">
        <f aca="false">C10/100*Assumptions!$B$24</f>
        <v>4.47041394500212</v>
      </c>
      <c r="D16" s="21" t="n">
        <f aca="false">D10/100*Assumptions!$B$24</f>
        <v>4.98161727083126</v>
      </c>
      <c r="E16" s="21" t="n">
        <f aca="false">E10/100*Assumptions!$B$24</f>
        <v>5.55127801101929</v>
      </c>
      <c r="F16" s="21" t="n">
        <f aca="false">F10/100*Assumptions!$B$24</f>
        <v>6.18608092116319</v>
      </c>
      <c r="G16" s="21" t="n">
        <f aca="false">G10/100*Assumptions!$B$24</f>
        <v>6.89347517584563</v>
      </c>
      <c r="H16" s="21" t="n">
        <f aca="false">H10/100*Assumptions!$B$24</f>
        <v>7.68176178191097</v>
      </c>
      <c r="I16" s="21" t="n">
        <f aca="false">I10/100*Assumptions!$B$24</f>
        <v>8.56019098767397</v>
      </c>
      <c r="J16" s="21" t="n">
        <f aca="false">J10/100*Assumptions!$B$24</f>
        <v>9.53907083112199</v>
      </c>
      <c r="K16" s="21" t="n">
        <f aca="false">K10/100*Assumptions!$B$24</f>
        <v>10.6298881008831</v>
      </c>
      <c r="L16" s="21" t="n">
        <f aca="false">L10/100*Assumptions!$B$24</f>
        <v>11.8454431293919</v>
      </c>
      <c r="M16" s="21" t="n">
        <f aca="false">M10/100*Assumptions!$B$24</f>
        <v>13.2</v>
      </c>
      <c r="N16" s="21" t="n">
        <f aca="false">N10/100*Assumptions!$B$24</f>
        <v>13.9308029327062</v>
      </c>
      <c r="O16" s="21" t="n">
        <f aca="false">O10/100*Assumptions!$B$24</f>
        <v>14.7020659355981</v>
      </c>
      <c r="P16" s="21" t="n">
        <f aca="false">P10/100*Assumptions!$B$24</f>
        <v>15.5160290342781</v>
      </c>
      <c r="Q16" s="21" t="n">
        <f aca="false">Q10/100*Assumptions!$B$24</f>
        <v>16.3750562708087</v>
      </c>
      <c r="R16" s="21" t="n">
        <f aca="false">R10/100*Assumptions!$B$24</f>
        <v>17.2816425697433</v>
      </c>
      <c r="S16" s="21" t="n">
        <f aca="false">S10/100*Assumptions!$B$24</f>
        <v>18.2384209842848</v>
      </c>
      <c r="T16" s="21" t="n">
        <f aca="false">T10/100*Assumptions!$B$24</f>
        <v>19.2481703436216</v>
      </c>
      <c r="U16" s="21" t="n">
        <f aca="false">U10/100*Assumptions!$B$24</f>
        <v>20.3138233236479</v>
      </c>
      <c r="V16" s="21" t="n">
        <f aca="false">V10/100*Assumptions!$B$24</f>
        <v>21.4384749645113</v>
      </c>
      <c r="W16" s="21" t="n">
        <f aca="false">W10/100*Assumptions!$B$24</f>
        <v>22.6253916597244</v>
      </c>
      <c r="X16" s="21" t="n">
        <f aca="false">X10/100*Assumptions!$B$24</f>
        <v>23.8780206429481</v>
      </c>
      <c r="Y16" s="21" t="n">
        <f aca="false">Y10/100*Assumptions!$B$24</f>
        <v>25.2</v>
      </c>
      <c r="Z16" s="21" t="n">
        <f aca="false">Z10/100*Assumptions!$B$24</f>
        <v>25.9602599823007</v>
      </c>
      <c r="AA16" s="21" t="n">
        <f aca="false">AA10/100*Assumptions!$B$24</f>
        <v>26.7434562836763</v>
      </c>
      <c r="AB16" s="21" t="n">
        <f aca="false">AB10/100*Assumptions!$B$24</f>
        <v>27.5502808710132</v>
      </c>
      <c r="AC16" s="21" t="n">
        <f aca="false">AC10/100*Assumptions!$B$24</f>
        <v>28.3814465871789</v>
      </c>
      <c r="AD16" s="21" t="n">
        <f aca="false">AD10/100*Assumptions!$B$24</f>
        <v>29.2376877808311</v>
      </c>
      <c r="AE16" s="21" t="n">
        <f aca="false">AE10/100*Assumptions!$B$24</f>
        <v>30.1197609552267</v>
      </c>
      <c r="AF16" s="21" t="n">
        <f aca="false">AF10/100*Assumptions!$B$24</f>
        <v>31.0284454366046</v>
      </c>
      <c r="AG16" s="21" t="n">
        <f aca="false">AG10/100*Assumptions!$B$24</f>
        <v>31.9645440627336</v>
      </c>
      <c r="AH16" s="21" t="n">
        <f aca="false">AH10/100*Assumptions!$B$24</f>
        <v>32.928883892233</v>
      </c>
      <c r="AI16" s="21" t="n">
        <f aca="false">AI10/100*Assumptions!$B$24</f>
        <v>33.9223169352922</v>
      </c>
      <c r="AJ16" s="21" t="n">
        <f aca="false">AJ10/100*Assumptions!$B$24</f>
        <v>34.945720906436</v>
      </c>
      <c r="AK16" s="21" t="n">
        <f aca="false">AK10/100*Assumptions!$B$24</f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9" min="2" style="0" width="11"/>
  </cols>
  <sheetData>
    <row r="1" customFormat="false" ht="15" hidden="false" customHeight="false" outlineLevel="0" collapsed="false">
      <c r="A1" s="3" t="s">
        <v>90</v>
      </c>
    </row>
    <row r="2" customFormat="false" ht="15" hidden="false" customHeight="false" outlineLevel="0" collapsed="false">
      <c r="A2" s="2" t="s">
        <v>91</v>
      </c>
    </row>
    <row r="4" customFormat="false" ht="15" hidden="false" customHeight="false" outlineLevel="0" collapsed="false">
      <c r="A4" s="17" t="s">
        <v>77</v>
      </c>
      <c r="B4" s="17" t="n">
        <v>1</v>
      </c>
      <c r="C4" s="17" t="n">
        <v>2</v>
      </c>
      <c r="D4" s="17" t="n">
        <v>3</v>
      </c>
      <c r="E4" s="17" t="n">
        <v>4</v>
      </c>
      <c r="F4" s="17" t="n">
        <v>5</v>
      </c>
      <c r="G4" s="17" t="n">
        <v>6</v>
      </c>
      <c r="H4" s="17" t="n">
        <v>7</v>
      </c>
      <c r="I4" s="17" t="n">
        <v>8</v>
      </c>
      <c r="J4" s="17" t="n">
        <v>9</v>
      </c>
      <c r="K4" s="17" t="n">
        <v>10</v>
      </c>
      <c r="L4" s="17" t="n">
        <v>11</v>
      </c>
      <c r="M4" s="17" t="n">
        <v>12</v>
      </c>
      <c r="N4" s="17" t="n">
        <v>13</v>
      </c>
      <c r="O4" s="17" t="n">
        <v>14</v>
      </c>
      <c r="P4" s="17" t="n">
        <v>15</v>
      </c>
      <c r="Q4" s="17" t="n">
        <v>16</v>
      </c>
      <c r="R4" s="17" t="n">
        <v>17</v>
      </c>
      <c r="S4" s="17" t="n">
        <v>18</v>
      </c>
      <c r="T4" s="17" t="n">
        <v>19</v>
      </c>
      <c r="U4" s="17" t="n">
        <v>20</v>
      </c>
      <c r="V4" s="17" t="n">
        <v>21</v>
      </c>
      <c r="W4" s="17" t="n">
        <v>22</v>
      </c>
      <c r="X4" s="17" t="n">
        <v>23</v>
      </c>
      <c r="Y4" s="17" t="n">
        <v>24</v>
      </c>
      <c r="Z4" s="17" t="n">
        <v>25</v>
      </c>
      <c r="AA4" s="17" t="n">
        <v>26</v>
      </c>
      <c r="AB4" s="17" t="n">
        <v>27</v>
      </c>
      <c r="AC4" s="17" t="n">
        <v>28</v>
      </c>
      <c r="AD4" s="17" t="n">
        <v>29</v>
      </c>
      <c r="AE4" s="17" t="n">
        <v>30</v>
      </c>
      <c r="AF4" s="17" t="n">
        <v>31</v>
      </c>
      <c r="AG4" s="17" t="n">
        <v>32</v>
      </c>
      <c r="AH4" s="17" t="n">
        <v>33</v>
      </c>
      <c r="AI4" s="17" t="n">
        <v>34</v>
      </c>
      <c r="AJ4" s="17" t="n">
        <v>35</v>
      </c>
      <c r="AK4" s="17" t="n">
        <v>36</v>
      </c>
    </row>
    <row r="5" customFormat="false" ht="15" hidden="false" customHeight="false" outlineLevel="0" collapsed="false">
      <c r="A5" s="17" t="s">
        <v>78</v>
      </c>
      <c r="B5" s="17" t="s">
        <v>79</v>
      </c>
      <c r="C5" s="17" t="s">
        <v>79</v>
      </c>
      <c r="D5" s="17" t="s">
        <v>79</v>
      </c>
      <c r="E5" s="17" t="s">
        <v>79</v>
      </c>
      <c r="F5" s="17" t="s">
        <v>79</v>
      </c>
      <c r="G5" s="17" t="s">
        <v>79</v>
      </c>
      <c r="H5" s="17" t="s">
        <v>79</v>
      </c>
      <c r="I5" s="17" t="s">
        <v>79</v>
      </c>
      <c r="J5" s="17" t="s">
        <v>79</v>
      </c>
      <c r="K5" s="17" t="s">
        <v>79</v>
      </c>
      <c r="L5" s="17" t="s">
        <v>79</v>
      </c>
      <c r="M5" s="17" t="s">
        <v>79</v>
      </c>
      <c r="N5" s="17" t="s">
        <v>80</v>
      </c>
      <c r="O5" s="17" t="s">
        <v>80</v>
      </c>
      <c r="P5" s="17" t="s">
        <v>80</v>
      </c>
      <c r="Q5" s="17" t="s">
        <v>80</v>
      </c>
      <c r="R5" s="17" t="s">
        <v>80</v>
      </c>
      <c r="S5" s="17" t="s">
        <v>80</v>
      </c>
      <c r="T5" s="17" t="s">
        <v>80</v>
      </c>
      <c r="U5" s="17" t="s">
        <v>80</v>
      </c>
      <c r="V5" s="17" t="s">
        <v>80</v>
      </c>
      <c r="W5" s="17" t="s">
        <v>80</v>
      </c>
      <c r="X5" s="17" t="s">
        <v>80</v>
      </c>
      <c r="Y5" s="17" t="s">
        <v>80</v>
      </c>
      <c r="Z5" s="17" t="s">
        <v>81</v>
      </c>
      <c r="AA5" s="17" t="s">
        <v>81</v>
      </c>
      <c r="AB5" s="17" t="s">
        <v>81</v>
      </c>
      <c r="AC5" s="17" t="s">
        <v>81</v>
      </c>
      <c r="AD5" s="17" t="s">
        <v>81</v>
      </c>
      <c r="AE5" s="17" t="s">
        <v>81</v>
      </c>
      <c r="AF5" s="17" t="s">
        <v>81</v>
      </c>
      <c r="AG5" s="17" t="s">
        <v>81</v>
      </c>
      <c r="AH5" s="17" t="s">
        <v>81</v>
      </c>
      <c r="AI5" s="17" t="s">
        <v>81</v>
      </c>
      <c r="AJ5" s="17" t="s">
        <v>81</v>
      </c>
      <c r="AK5" s="17" t="s">
        <v>81</v>
      </c>
    </row>
    <row r="7" customFormat="false" ht="15" hidden="false" customHeight="false" outlineLevel="0" collapsed="false">
      <c r="A7" s="15" t="s">
        <v>92</v>
      </c>
    </row>
    <row r="8" customFormat="false" ht="15" hidden="false" customHeight="false" outlineLevel="0" collapsed="false">
      <c r="A8" s="5" t="s">
        <v>93</v>
      </c>
      <c r="B8" s="18" t="n">
        <f aca="false">'Member Build'!B13*Assumptions!$B$18</f>
        <v>16380.9827864128</v>
      </c>
      <c r="C8" s="18" t="n">
        <f aca="false">'Member Build'!C13*Assumptions!$B$18</f>
        <v>18254.1902754253</v>
      </c>
      <c r="D8" s="18" t="n">
        <f aca="false">'Member Build'!D13*Assumptions!$B$18</f>
        <v>20341.6038558943</v>
      </c>
      <c r="E8" s="18" t="n">
        <f aca="false">'Member Build'!E13*Assumptions!$B$18</f>
        <v>22667.7185449954</v>
      </c>
      <c r="F8" s="18" t="n">
        <f aca="false">'Member Build'!F13*Assumptions!$B$18</f>
        <v>25259.830428083</v>
      </c>
      <c r="G8" s="18" t="n">
        <f aca="false">'Member Build'!G13*Assumptions!$B$18</f>
        <v>28148.3569680363</v>
      </c>
      <c r="H8" s="18" t="n">
        <f aca="false">'Member Build'!H13*Assumptions!$B$18</f>
        <v>31367.1939428031</v>
      </c>
      <c r="I8" s="18" t="n">
        <f aca="false">'Member Build'!I13*Assumptions!$B$18</f>
        <v>34954.1131996687</v>
      </c>
      <c r="J8" s="18" t="n">
        <f aca="false">'Member Build'!J13*Assumptions!$B$18</f>
        <v>38951.2058937481</v>
      </c>
      <c r="K8" s="18" t="n">
        <f aca="false">'Member Build'!K13*Assumptions!$B$18</f>
        <v>43405.3764119394</v>
      </c>
      <c r="L8" s="18" t="n">
        <f aca="false">'Member Build'!L13*Assumptions!$B$18</f>
        <v>48368.8927783502</v>
      </c>
      <c r="M8" s="18" t="n">
        <f aca="false">'Member Build'!M13*Assumptions!$B$18</f>
        <v>53900</v>
      </c>
      <c r="N8" s="18" t="n">
        <f aca="false">'Member Build'!N13*Assumptions!$B$18</f>
        <v>56884.111975217</v>
      </c>
      <c r="O8" s="18" t="n">
        <f aca="false">'Member Build'!O13*Assumptions!$B$18</f>
        <v>60033.4359036924</v>
      </c>
      <c r="P8" s="18" t="n">
        <f aca="false">'Member Build'!P13*Assumptions!$B$18</f>
        <v>63357.1185566354</v>
      </c>
      <c r="Q8" s="18" t="n">
        <f aca="false">'Member Build'!Q13*Assumptions!$B$18</f>
        <v>66864.8131058023</v>
      </c>
      <c r="R8" s="18" t="n">
        <f aca="false">'Member Build'!R13*Assumptions!$B$18</f>
        <v>70566.707159785</v>
      </c>
      <c r="S8" s="18" t="n">
        <f aca="false">'Member Build'!S13*Assumptions!$B$18</f>
        <v>74473.5523524963</v>
      </c>
      <c r="T8" s="18" t="n">
        <f aca="false">'Member Build'!T13*Assumptions!$B$18</f>
        <v>78596.6955697881</v>
      </c>
      <c r="U8" s="18" t="n">
        <f aca="false">'Member Build'!U13*Assumptions!$B$18</f>
        <v>82948.1119048954</v>
      </c>
      <c r="V8" s="18" t="n">
        <f aca="false">'Member Build'!V13*Assumptions!$B$18</f>
        <v>87540.4394384211</v>
      </c>
      <c r="W8" s="18" t="n">
        <f aca="false">'Member Build'!W13*Assumptions!$B$18</f>
        <v>92387.0159438746</v>
      </c>
      <c r="X8" s="18" t="n">
        <f aca="false">'Member Build'!X13*Assumptions!$B$18</f>
        <v>97501.9176253714</v>
      </c>
      <c r="Y8" s="18" t="n">
        <f aca="false">'Member Build'!Y13*Assumptions!$B$18</f>
        <v>102900</v>
      </c>
      <c r="Z8" s="18" t="n">
        <f aca="false">'Member Build'!Z13*Assumptions!$B$18</f>
        <v>106004.394927728</v>
      </c>
      <c r="AA8" s="18" t="n">
        <f aca="false">'Member Build'!AA13*Assumptions!$B$18</f>
        <v>109202.446491678</v>
      </c>
      <c r="AB8" s="18" t="n">
        <f aca="false">'Member Build'!AB13*Assumptions!$B$18</f>
        <v>112496.980223304</v>
      </c>
      <c r="AC8" s="18" t="n">
        <f aca="false">'Member Build'!AC13*Assumptions!$B$18</f>
        <v>115890.906897647</v>
      </c>
      <c r="AD8" s="18" t="n">
        <f aca="false">'Member Build'!AD13*Assumptions!$B$18</f>
        <v>119387.22510506</v>
      </c>
      <c r="AE8" s="18" t="n">
        <f aca="false">'Member Build'!AE13*Assumptions!$B$18</f>
        <v>122989.023900509</v>
      </c>
      <c r="AF8" s="18" t="n">
        <f aca="false">'Member Build'!AF13*Assumptions!$B$18</f>
        <v>126699.485532802</v>
      </c>
      <c r="AG8" s="18" t="n">
        <f aca="false">'Member Build'!AG13*Assumptions!$B$18</f>
        <v>130521.888256162</v>
      </c>
      <c r="AH8" s="18" t="n">
        <f aca="false">'Member Build'!AH13*Assumptions!$B$18</f>
        <v>134459.609226618</v>
      </c>
      <c r="AI8" s="18" t="n">
        <f aca="false">'Member Build'!AI13*Assumptions!$B$18</f>
        <v>138516.127485776</v>
      </c>
      <c r="AJ8" s="18" t="n">
        <f aca="false">'Member Build'!AJ13*Assumptions!$B$18</f>
        <v>142695.027034614</v>
      </c>
      <c r="AK8" s="18" t="n">
        <f aca="false">'Member Build'!AK13*Assumptions!$B$18</f>
        <v>147000</v>
      </c>
    </row>
    <row r="9" customFormat="false" ht="15" hidden="false" customHeight="false" outlineLevel="0" collapsed="false">
      <c r="A9" s="5" t="s">
        <v>94</v>
      </c>
      <c r="B9" s="18" t="n">
        <f aca="false">'Member Build'!B12*Assumptions!$B$19</f>
        <v>11032.0904479923</v>
      </c>
      <c r="C9" s="18" t="n">
        <f aca="false">'Member Build'!C12*Assumptions!$B$19</f>
        <v>12293.6383487558</v>
      </c>
      <c r="D9" s="18" t="n">
        <f aca="false">'Member Build'!D12*Assumptions!$B$19</f>
        <v>13699.447494786</v>
      </c>
      <c r="E9" s="18" t="n">
        <f aca="false">'Member Build'!E12*Assumptions!$B$19</f>
        <v>15266.014530303</v>
      </c>
      <c r="F9" s="18" t="n">
        <f aca="false">'Member Build'!F12*Assumptions!$B$19</f>
        <v>17011.7225331988</v>
      </c>
      <c r="G9" s="18" t="n">
        <f aca="false">'Member Build'!G12*Assumptions!$B$19</f>
        <v>18957.0567335755</v>
      </c>
      <c r="H9" s="18" t="n">
        <f aca="false">'Member Build'!H12*Assumptions!$B$19</f>
        <v>21124.8449002552</v>
      </c>
      <c r="I9" s="18" t="n">
        <f aca="false">'Member Build'!I12*Assumptions!$B$19</f>
        <v>23540.5252161034</v>
      </c>
      <c r="J9" s="18" t="n">
        <f aca="false">'Member Build'!J12*Assumptions!$B$19</f>
        <v>26232.4447855855</v>
      </c>
      <c r="K9" s="18" t="n">
        <f aca="false">'Member Build'!K12*Assumptions!$B$19</f>
        <v>29232.1922774286</v>
      </c>
      <c r="L9" s="18" t="n">
        <f aca="false">'Member Build'!L12*Assumptions!$B$19</f>
        <v>32574.9686058277</v>
      </c>
      <c r="M9" s="18" t="n">
        <f aca="false">'Member Build'!M12*Assumptions!$B$19</f>
        <v>36300</v>
      </c>
      <c r="N9" s="18" t="n">
        <f aca="false">'Member Build'!N12*Assumptions!$B$19</f>
        <v>38309.708064942</v>
      </c>
      <c r="O9" s="18" t="n">
        <f aca="false">'Member Build'!O12*Assumptions!$B$19</f>
        <v>40430.6813228949</v>
      </c>
      <c r="P9" s="18" t="n">
        <f aca="false">'Member Build'!P12*Assumptions!$B$19</f>
        <v>42669.0798442646</v>
      </c>
      <c r="Q9" s="18" t="n">
        <f aca="false">'Member Build'!Q12*Assumptions!$B$19</f>
        <v>45031.404744724</v>
      </c>
      <c r="R9" s="18" t="n">
        <f aca="false">'Member Build'!R12*Assumptions!$B$19</f>
        <v>47524.5170667939</v>
      </c>
      <c r="S9" s="18" t="n">
        <f aca="false">'Member Build'!S12*Assumptions!$B$19</f>
        <v>50155.6577067832</v>
      </c>
      <c r="T9" s="18" t="n">
        <f aca="false">'Member Build'!T12*Assumptions!$B$19</f>
        <v>52932.4684449593</v>
      </c>
      <c r="U9" s="18" t="n">
        <f aca="false">'Member Build'!U12*Assumptions!$B$19</f>
        <v>55863.0141400316</v>
      </c>
      <c r="V9" s="18" t="n">
        <f aca="false">'Member Build'!V12*Assumptions!$B$19</f>
        <v>58955.806152406</v>
      </c>
      <c r="W9" s="18" t="n">
        <f aca="false">'Member Build'!W12*Assumptions!$B$19</f>
        <v>62219.8270642421</v>
      </c>
      <c r="X9" s="18" t="n">
        <f aca="false">'Member Build'!X12*Assumptions!$B$19</f>
        <v>65664.5567681072</v>
      </c>
      <c r="Y9" s="18" t="n">
        <f aca="false">'Member Build'!Y12*Assumptions!$B$19</f>
        <v>69300</v>
      </c>
      <c r="Z9" s="18" t="n">
        <f aca="false">'Member Build'!Z12*Assumptions!$B$19</f>
        <v>71390.714951327</v>
      </c>
      <c r="AA9" s="18" t="n">
        <f aca="false">'Member Build'!AA12*Assumptions!$B$19</f>
        <v>73544.50478011</v>
      </c>
      <c r="AB9" s="18" t="n">
        <f aca="false">'Member Build'!AB12*Assumptions!$B$19</f>
        <v>75763.2723952862</v>
      </c>
      <c r="AC9" s="18" t="n">
        <f aca="false">'Member Build'!AC12*Assumptions!$B$19</f>
        <v>78048.9781147419</v>
      </c>
      <c r="AD9" s="18" t="n">
        <f aca="false">'Member Build'!AD12*Assumptions!$B$19</f>
        <v>80403.6413972856</v>
      </c>
      <c r="AE9" s="18" t="n">
        <f aca="false">'Member Build'!AE12*Assumptions!$B$19</f>
        <v>82829.3426268735</v>
      </c>
      <c r="AF9" s="18" t="n">
        <f aca="false">'Member Build'!AF12*Assumptions!$B$19</f>
        <v>85328.2249506626</v>
      </c>
      <c r="AG9" s="18" t="n">
        <f aca="false">'Member Build'!AG12*Assumptions!$B$19</f>
        <v>87902.4961725174</v>
      </c>
      <c r="AH9" s="18" t="n">
        <f aca="false">'Member Build'!AH12*Assumptions!$B$19</f>
        <v>90554.4307036407</v>
      </c>
      <c r="AI9" s="18" t="n">
        <f aca="false">'Member Build'!AI12*Assumptions!$B$19</f>
        <v>93286.3715720534</v>
      </c>
      <c r="AJ9" s="18" t="n">
        <f aca="false">'Member Build'!AJ12*Assumptions!$B$19</f>
        <v>96100.732492699</v>
      </c>
      <c r="AK9" s="18" t="n">
        <f aca="false">'Member Build'!AK12*Assumptions!$B$19</f>
        <v>98999.9999999999</v>
      </c>
    </row>
    <row r="10" customFormat="false" ht="15" hidden="false" customHeight="false" outlineLevel="0" collapsed="false">
      <c r="A10" s="5" t="s">
        <v>95</v>
      </c>
      <c r="B10" s="18" t="n">
        <f aca="false">'Member Build'!B15*Assumptions!$B$21</f>
        <v>9628.00620915691</v>
      </c>
      <c r="C10" s="18" t="n">
        <f aca="false">'Member Build'!C15*Assumptions!$B$21</f>
        <v>10728.9934680051</v>
      </c>
      <c r="D10" s="18" t="n">
        <f aca="false">'Member Build'!D15*Assumptions!$B$21</f>
        <v>11955.881449995</v>
      </c>
      <c r="E10" s="18" t="n">
        <f aca="false">'Member Build'!E15*Assumptions!$B$21</f>
        <v>13323.0672264463</v>
      </c>
      <c r="F10" s="18" t="n">
        <f aca="false">'Member Build'!F15*Assumptions!$B$21</f>
        <v>14846.5942107917</v>
      </c>
      <c r="G10" s="18" t="n">
        <f aca="false">'Member Build'!G15*Assumptions!$B$21</f>
        <v>16544.3404220295</v>
      </c>
      <c r="H10" s="18" t="n">
        <f aca="false">'Member Build'!H15*Assumptions!$B$21</f>
        <v>18436.2282765863</v>
      </c>
      <c r="I10" s="18" t="n">
        <f aca="false">'Member Build'!I15*Assumptions!$B$21</f>
        <v>20544.4583704175</v>
      </c>
      <c r="J10" s="18" t="n">
        <f aca="false">'Member Build'!J15*Assumptions!$B$21</f>
        <v>22893.7699946928</v>
      </c>
      <c r="K10" s="18" t="n">
        <f aca="false">'Member Build'!K15*Assumptions!$B$21</f>
        <v>25511.7314421195</v>
      </c>
      <c r="L10" s="18" t="n">
        <f aca="false">'Member Build'!L15*Assumptions!$B$21</f>
        <v>28429.0635105405</v>
      </c>
      <c r="M10" s="18" t="n">
        <f aca="false">'Member Build'!M15*Assumptions!$B$21</f>
        <v>31680</v>
      </c>
      <c r="N10" s="18" t="n">
        <f aca="false">'Member Build'!N15*Assumptions!$B$21</f>
        <v>33433.9270384949</v>
      </c>
      <c r="O10" s="18" t="n">
        <f aca="false">'Member Build'!O15*Assumptions!$B$21</f>
        <v>35284.9582454355</v>
      </c>
      <c r="P10" s="18" t="n">
        <f aca="false">'Member Build'!P15*Assumptions!$B$21</f>
        <v>37238.4696822673</v>
      </c>
      <c r="Q10" s="18" t="n">
        <f aca="false">'Member Build'!Q15*Assumptions!$B$21</f>
        <v>39300.1350499409</v>
      </c>
      <c r="R10" s="18" t="n">
        <f aca="false">'Member Build'!R15*Assumptions!$B$21</f>
        <v>41475.9421673838</v>
      </c>
      <c r="S10" s="18" t="n">
        <f aca="false">'Member Build'!S15*Assumptions!$B$21</f>
        <v>43772.2103622835</v>
      </c>
      <c r="T10" s="18" t="n">
        <f aca="false">'Member Build'!T15*Assumptions!$B$21</f>
        <v>46195.6088246918</v>
      </c>
      <c r="U10" s="18" t="n">
        <f aca="false">'Member Build'!U15*Assumptions!$B$21</f>
        <v>48753.1759767549</v>
      </c>
      <c r="V10" s="18" t="n">
        <f aca="false">'Member Build'!V15*Assumptions!$B$21</f>
        <v>51452.3399148271</v>
      </c>
      <c r="W10" s="18" t="n">
        <f aca="false">'Member Build'!W15*Assumptions!$B$21</f>
        <v>54300.9399833386</v>
      </c>
      <c r="X10" s="18" t="n">
        <f aca="false">'Member Build'!X15*Assumptions!$B$21</f>
        <v>57307.2495430754</v>
      </c>
      <c r="Y10" s="18" t="n">
        <f aca="false">'Member Build'!Y15*Assumptions!$B$21</f>
        <v>60480</v>
      </c>
      <c r="Z10" s="18" t="n">
        <f aca="false">'Member Build'!Z15*Assumptions!$B$21</f>
        <v>62304.6239575217</v>
      </c>
      <c r="AA10" s="18" t="n">
        <f aca="false">'Member Build'!AA15*Assumptions!$B$21</f>
        <v>64184.2950808232</v>
      </c>
      <c r="AB10" s="18" t="n">
        <f aca="false">'Member Build'!AB15*Assumptions!$B$21</f>
        <v>66120.6740904316</v>
      </c>
      <c r="AC10" s="18" t="n">
        <f aca="false">'Member Build'!AC15*Assumptions!$B$21</f>
        <v>68115.4718092293</v>
      </c>
      <c r="AD10" s="18" t="n">
        <f aca="false">'Member Build'!AD15*Assumptions!$B$21</f>
        <v>70170.4506739947</v>
      </c>
      <c r="AE10" s="18" t="n">
        <f aca="false">'Member Build'!AE15*Assumptions!$B$21</f>
        <v>72287.4262925441</v>
      </c>
      <c r="AF10" s="18" t="n">
        <f aca="false">'Member Build'!AF15*Assumptions!$B$21</f>
        <v>74468.269047851</v>
      </c>
      <c r="AG10" s="18" t="n">
        <f aca="false">'Member Build'!AG15*Assumptions!$B$21</f>
        <v>76714.9057505607</v>
      </c>
      <c r="AH10" s="18" t="n">
        <f aca="false">'Member Build'!AH15*Assumptions!$B$21</f>
        <v>79029.3213413592</v>
      </c>
      <c r="AI10" s="18" t="n">
        <f aca="false">'Member Build'!AI15*Assumptions!$B$21</f>
        <v>81413.5606447012</v>
      </c>
      <c r="AJ10" s="18" t="n">
        <f aca="false">'Member Build'!AJ15*Assumptions!$B$21</f>
        <v>83869.7301754464</v>
      </c>
      <c r="AK10" s="18" t="n">
        <f aca="false">'Member Build'!AK15*Assumptions!$B$21</f>
        <v>86400</v>
      </c>
    </row>
    <row r="11" customFormat="false" ht="15" hidden="false" customHeight="false" outlineLevel="0" collapsed="false">
      <c r="A11" s="5" t="s">
        <v>96</v>
      </c>
      <c r="B11" s="18" t="n">
        <f aca="false">'Member Build'!B16*Assumptions!$B$23</f>
        <v>1604.66770152615</v>
      </c>
      <c r="C11" s="18" t="n">
        <f aca="false">'Member Build'!C16*Assumptions!$B$23</f>
        <v>1788.16557800085</v>
      </c>
      <c r="D11" s="18" t="n">
        <f aca="false">'Member Build'!D16*Assumptions!$B$23</f>
        <v>1992.6469083325</v>
      </c>
      <c r="E11" s="18" t="n">
        <f aca="false">'Member Build'!E16*Assumptions!$B$23</f>
        <v>2220.51120440772</v>
      </c>
      <c r="F11" s="18" t="n">
        <f aca="false">'Member Build'!F16*Assumptions!$B$23</f>
        <v>2474.43236846528</v>
      </c>
      <c r="G11" s="18" t="n">
        <f aca="false">'Member Build'!G16*Assumptions!$B$23</f>
        <v>2757.39007033825</v>
      </c>
      <c r="H11" s="18" t="n">
        <f aca="false">'Member Build'!H16*Assumptions!$B$23</f>
        <v>3072.70471276439</v>
      </c>
      <c r="I11" s="18" t="n">
        <f aca="false">'Member Build'!I16*Assumptions!$B$23</f>
        <v>3424.07639506959</v>
      </c>
      <c r="J11" s="18" t="n">
        <f aca="false">'Member Build'!J16*Assumptions!$B$23</f>
        <v>3815.6283324488</v>
      </c>
      <c r="K11" s="18" t="n">
        <f aca="false">'Member Build'!K16*Assumptions!$B$23</f>
        <v>4251.95524035325</v>
      </c>
      <c r="L11" s="18" t="n">
        <f aca="false">'Member Build'!L16*Assumptions!$B$23</f>
        <v>4738.17725175675</v>
      </c>
      <c r="M11" s="18" t="n">
        <f aca="false">'Member Build'!M16*Assumptions!$B$23</f>
        <v>5280</v>
      </c>
      <c r="N11" s="18" t="n">
        <f aca="false">'Member Build'!N16*Assumptions!$B$23</f>
        <v>5572.32117308248</v>
      </c>
      <c r="O11" s="18" t="n">
        <f aca="false">'Member Build'!O16*Assumptions!$B$23</f>
        <v>5880.82637423925</v>
      </c>
      <c r="P11" s="18" t="n">
        <f aca="false">'Member Build'!P16*Assumptions!$B$23</f>
        <v>6206.41161371122</v>
      </c>
      <c r="Q11" s="18" t="n">
        <f aca="false">'Member Build'!Q16*Assumptions!$B$23</f>
        <v>6550.02250832349</v>
      </c>
      <c r="R11" s="18" t="n">
        <f aca="false">'Member Build'!R16*Assumptions!$B$23</f>
        <v>6912.6570278973</v>
      </c>
      <c r="S11" s="18" t="n">
        <f aca="false">'Member Build'!S16*Assumptions!$B$23</f>
        <v>7295.36839371392</v>
      </c>
      <c r="T11" s="18" t="n">
        <f aca="false">'Member Build'!T16*Assumptions!$B$23</f>
        <v>7699.26813744863</v>
      </c>
      <c r="U11" s="18" t="n">
        <f aca="false">'Member Build'!U16*Assumptions!$B$23</f>
        <v>8125.52932945914</v>
      </c>
      <c r="V11" s="18" t="n">
        <f aca="false">'Member Build'!V16*Assumptions!$B$23</f>
        <v>8575.38998580451</v>
      </c>
      <c r="W11" s="18" t="n">
        <f aca="false">'Member Build'!W16*Assumptions!$B$23</f>
        <v>9050.15666388976</v>
      </c>
      <c r="X11" s="18" t="n">
        <f aca="false">'Member Build'!X16*Assumptions!$B$23</f>
        <v>9551.20825717923</v>
      </c>
      <c r="Y11" s="18" t="n">
        <f aca="false">'Member Build'!Y16*Assumptions!$B$23</f>
        <v>10080</v>
      </c>
      <c r="Z11" s="18" t="n">
        <f aca="false">'Member Build'!Z16*Assumptions!$B$23</f>
        <v>10384.1039929203</v>
      </c>
      <c r="AA11" s="18" t="n">
        <f aca="false">'Member Build'!AA16*Assumptions!$B$23</f>
        <v>10697.3825134705</v>
      </c>
      <c r="AB11" s="18" t="n">
        <f aca="false">'Member Build'!AB16*Assumptions!$B$23</f>
        <v>11020.1123484053</v>
      </c>
      <c r="AC11" s="18" t="n">
        <f aca="false">'Member Build'!AC16*Assumptions!$B$23</f>
        <v>11352.5786348715</v>
      </c>
      <c r="AD11" s="18" t="n">
        <f aca="false">'Member Build'!AD16*Assumptions!$B$23</f>
        <v>11695.0751123325</v>
      </c>
      <c r="AE11" s="18" t="n">
        <f aca="false">'Member Build'!AE16*Assumptions!$B$23</f>
        <v>12047.9043820907</v>
      </c>
      <c r="AF11" s="18" t="n">
        <f aca="false">'Member Build'!AF16*Assumptions!$B$23</f>
        <v>12411.3781746418</v>
      </c>
      <c r="AG11" s="18" t="n">
        <f aca="false">'Member Build'!AG16*Assumptions!$B$23</f>
        <v>12785.8176250934</v>
      </c>
      <c r="AH11" s="18" t="n">
        <f aca="false">'Member Build'!AH16*Assumptions!$B$23</f>
        <v>13171.5535568932</v>
      </c>
      <c r="AI11" s="18" t="n">
        <f aca="false">'Member Build'!AI16*Assumptions!$B$23</f>
        <v>13568.9267741169</v>
      </c>
      <c r="AJ11" s="18" t="n">
        <f aca="false">'Member Build'!AJ16*Assumptions!$B$23</f>
        <v>13978.2883625744</v>
      </c>
      <c r="AK11" s="18" t="n">
        <f aca="false">'Member Build'!AK16*Assumptions!$B$23</f>
        <v>14400</v>
      </c>
    </row>
    <row r="12" customFormat="false" ht="15" hidden="false" customHeight="false" outlineLevel="0" collapsed="false">
      <c r="A12" s="15" t="s">
        <v>97</v>
      </c>
      <c r="B12" s="20" t="n">
        <f aca="false">SUM(B8:B11)</f>
        <v>38645.7471450882</v>
      </c>
      <c r="C12" s="20" t="n">
        <f aca="false">SUM(C8:C11)</f>
        <v>43064.9876701871</v>
      </c>
      <c r="D12" s="20" t="n">
        <f aca="false">SUM(D8:D11)</f>
        <v>47989.5797090078</v>
      </c>
      <c r="E12" s="20" t="n">
        <f aca="false">SUM(E8:E11)</f>
        <v>53477.3115061525</v>
      </c>
      <c r="F12" s="20" t="n">
        <f aca="false">SUM(F8:F11)</f>
        <v>59592.5795405387</v>
      </c>
      <c r="G12" s="20" t="n">
        <f aca="false">SUM(G8:G11)</f>
        <v>66407.1441939796</v>
      </c>
      <c r="H12" s="20" t="n">
        <f aca="false">SUM(H8:H11)</f>
        <v>74000.971832409</v>
      </c>
      <c r="I12" s="20" t="n">
        <f aca="false">SUM(I8:I11)</f>
        <v>82463.1731812592</v>
      </c>
      <c r="J12" s="20" t="n">
        <f aca="false">SUM(J8:J11)</f>
        <v>91893.0490064752</v>
      </c>
      <c r="K12" s="20" t="n">
        <f aca="false">SUM(K8:K11)</f>
        <v>102401.255371841</v>
      </c>
      <c r="L12" s="20" t="n">
        <f aca="false">SUM(L8:L11)</f>
        <v>114111.102146475</v>
      </c>
      <c r="M12" s="20" t="n">
        <f aca="false">SUM(M8:M11)</f>
        <v>127160</v>
      </c>
      <c r="N12" s="20" t="n">
        <f aca="false">SUM(N8:N11)</f>
        <v>134200.068251736</v>
      </c>
      <c r="O12" s="20" t="n">
        <f aca="false">SUM(O8:O11)</f>
        <v>141629.901846262</v>
      </c>
      <c r="P12" s="20" t="n">
        <f aca="false">SUM(P8:P11)</f>
        <v>149471.079696879</v>
      </c>
      <c r="Q12" s="20" t="n">
        <f aca="false">SUM(Q8:Q11)</f>
        <v>157746.375408791</v>
      </c>
      <c r="R12" s="20" t="n">
        <f aca="false">SUM(R8:R11)</f>
        <v>166479.82342186</v>
      </c>
      <c r="S12" s="20" t="n">
        <f aca="false">SUM(S8:S11)</f>
        <v>175696.788815277</v>
      </c>
      <c r="T12" s="20" t="n">
        <f aca="false">SUM(T8:T11)</f>
        <v>185424.040976888</v>
      </c>
      <c r="U12" s="20" t="n">
        <f aca="false">SUM(U8:U11)</f>
        <v>195689.831351141</v>
      </c>
      <c r="V12" s="20" t="n">
        <f aca="false">SUM(V8:V11)</f>
        <v>206523.975491459</v>
      </c>
      <c r="W12" s="20" t="n">
        <f aca="false">SUM(W8:W11)</f>
        <v>217957.939655345</v>
      </c>
      <c r="X12" s="20" t="n">
        <f aca="false">SUM(X8:X11)</f>
        <v>230024.932193733</v>
      </c>
      <c r="Y12" s="20" t="n">
        <f aca="false">SUM(Y8:Y11)</f>
        <v>242760</v>
      </c>
      <c r="Z12" s="20" t="n">
        <f aca="false">SUM(Z8:Z11)</f>
        <v>250083.837829497</v>
      </c>
      <c r="AA12" s="20" t="n">
        <f aca="false">SUM(AA8:AA11)</f>
        <v>257628.628866082</v>
      </c>
      <c r="AB12" s="20" t="n">
        <f aca="false">SUM(AB8:AB11)</f>
        <v>265401.039057427</v>
      </c>
      <c r="AC12" s="20" t="n">
        <f aca="false">SUM(AC8:AC11)</f>
        <v>273407.93545649</v>
      </c>
      <c r="AD12" s="20" t="n">
        <f aca="false">SUM(AD8:AD11)</f>
        <v>281656.392288673</v>
      </c>
      <c r="AE12" s="20" t="n">
        <f aca="false">SUM(AE8:AE11)</f>
        <v>290153.697202017</v>
      </c>
      <c r="AF12" s="20" t="n">
        <f aca="false">SUM(AF8:AF11)</f>
        <v>298907.357705957</v>
      </c>
      <c r="AG12" s="20" t="n">
        <f aca="false">SUM(AG8:AG11)</f>
        <v>307925.107804334</v>
      </c>
      <c r="AH12" s="20" t="n">
        <f aca="false">SUM(AH8:AH11)</f>
        <v>317214.914828511</v>
      </c>
      <c r="AI12" s="20" t="n">
        <f aca="false">SUM(AI8:AI11)</f>
        <v>326784.986476648</v>
      </c>
      <c r="AJ12" s="20" t="n">
        <f aca="false">SUM(AJ8:AJ11)</f>
        <v>336643.778065333</v>
      </c>
      <c r="AK12" s="20" t="n">
        <f aca="false">SUM(AK8:AK11)</f>
        <v>346800</v>
      </c>
    </row>
    <row r="14" customFormat="false" ht="15" hidden="false" customHeight="false" outlineLevel="0" collapsed="false">
      <c r="A14" s="15" t="s">
        <v>98</v>
      </c>
    </row>
    <row r="15" customFormat="false" ht="15" hidden="false" customHeight="false" outlineLevel="0" collapsed="false">
      <c r="A15" s="5" t="s">
        <v>99</v>
      </c>
      <c r="B15" s="18" t="n">
        <f aca="false">-Assumptions!$B$27</f>
        <v>-45000</v>
      </c>
      <c r="C15" s="18" t="n">
        <f aca="false">-Assumptions!$B$27</f>
        <v>-45000</v>
      </c>
      <c r="D15" s="18" t="n">
        <f aca="false">-Assumptions!$B$27</f>
        <v>-45000</v>
      </c>
      <c r="E15" s="18" t="n">
        <f aca="false">-Assumptions!$B$27</f>
        <v>-45000</v>
      </c>
      <c r="F15" s="18" t="n">
        <f aca="false">-Assumptions!$B$27</f>
        <v>-45000</v>
      </c>
      <c r="G15" s="18" t="n">
        <f aca="false">-Assumptions!$B$27</f>
        <v>-45000</v>
      </c>
      <c r="H15" s="18" t="n">
        <f aca="false">-Assumptions!$B$27</f>
        <v>-45000</v>
      </c>
      <c r="I15" s="18" t="n">
        <f aca="false">-Assumptions!$B$27</f>
        <v>-45000</v>
      </c>
      <c r="J15" s="18" t="n">
        <f aca="false">-Assumptions!$B$27</f>
        <v>-45000</v>
      </c>
      <c r="K15" s="18" t="n">
        <f aca="false">-Assumptions!$B$27</f>
        <v>-45000</v>
      </c>
      <c r="L15" s="18" t="n">
        <f aca="false">-Assumptions!$B$27</f>
        <v>-45000</v>
      </c>
      <c r="M15" s="18" t="n">
        <f aca="false">-Assumptions!$B$27</f>
        <v>-45000</v>
      </c>
      <c r="N15" s="18" t="n">
        <f aca="false">-Assumptions!$B$27</f>
        <v>-45000</v>
      </c>
      <c r="O15" s="18" t="n">
        <f aca="false">-Assumptions!$B$27</f>
        <v>-45000</v>
      </c>
      <c r="P15" s="18" t="n">
        <f aca="false">-Assumptions!$B$27</f>
        <v>-45000</v>
      </c>
      <c r="Q15" s="18" t="n">
        <f aca="false">-Assumptions!$B$27</f>
        <v>-45000</v>
      </c>
      <c r="R15" s="18" t="n">
        <f aca="false">-Assumptions!$B$27</f>
        <v>-45000</v>
      </c>
      <c r="S15" s="18" t="n">
        <f aca="false">-Assumptions!$B$27</f>
        <v>-45000</v>
      </c>
      <c r="T15" s="18" t="n">
        <f aca="false">-Assumptions!$B$27</f>
        <v>-45000</v>
      </c>
      <c r="U15" s="18" t="n">
        <f aca="false">-Assumptions!$B$27</f>
        <v>-45000</v>
      </c>
      <c r="V15" s="18" t="n">
        <f aca="false">-Assumptions!$B$27</f>
        <v>-45000</v>
      </c>
      <c r="W15" s="18" t="n">
        <f aca="false">-Assumptions!$B$27</f>
        <v>-45000</v>
      </c>
      <c r="X15" s="18" t="n">
        <f aca="false">-Assumptions!$B$27</f>
        <v>-45000</v>
      </c>
      <c r="Y15" s="18" t="n">
        <f aca="false">-Assumptions!$B$27</f>
        <v>-45000</v>
      </c>
      <c r="Z15" s="18" t="n">
        <f aca="false">-Assumptions!$B$27</f>
        <v>-45000</v>
      </c>
      <c r="AA15" s="18" t="n">
        <f aca="false">-Assumptions!$B$27</f>
        <v>-45000</v>
      </c>
      <c r="AB15" s="18" t="n">
        <f aca="false">-Assumptions!$B$27</f>
        <v>-45000</v>
      </c>
      <c r="AC15" s="18" t="n">
        <f aca="false">-Assumptions!$B$27</f>
        <v>-45000</v>
      </c>
      <c r="AD15" s="18" t="n">
        <f aca="false">-Assumptions!$B$27</f>
        <v>-45000</v>
      </c>
      <c r="AE15" s="18" t="n">
        <f aca="false">-Assumptions!$B$27</f>
        <v>-45000</v>
      </c>
      <c r="AF15" s="18" t="n">
        <f aca="false">-Assumptions!$B$27</f>
        <v>-45000</v>
      </c>
      <c r="AG15" s="18" t="n">
        <f aca="false">-Assumptions!$B$27</f>
        <v>-45000</v>
      </c>
      <c r="AH15" s="18" t="n">
        <f aca="false">-Assumptions!$B$27</f>
        <v>-45000</v>
      </c>
      <c r="AI15" s="18" t="n">
        <f aca="false">-Assumptions!$B$27</f>
        <v>-45000</v>
      </c>
      <c r="AJ15" s="18" t="n">
        <f aca="false">-Assumptions!$B$27</f>
        <v>-45000</v>
      </c>
      <c r="AK15" s="18" t="n">
        <f aca="false">-Assumptions!$B$27</f>
        <v>-45000</v>
      </c>
    </row>
    <row r="16" customFormat="false" ht="15" hidden="false" customHeight="false" outlineLevel="0" collapsed="false">
      <c r="A16" s="5" t="s">
        <v>100</v>
      </c>
      <c r="B16" s="18" t="n">
        <f aca="false">-Assumptions!$B$28</f>
        <v>-14000</v>
      </c>
      <c r="C16" s="18" t="n">
        <f aca="false">-Assumptions!$B$28</f>
        <v>-14000</v>
      </c>
      <c r="D16" s="18" t="n">
        <f aca="false">-Assumptions!$B$28</f>
        <v>-14000</v>
      </c>
      <c r="E16" s="18" t="n">
        <f aca="false">-Assumptions!$B$28</f>
        <v>-14000</v>
      </c>
      <c r="F16" s="18" t="n">
        <f aca="false">-Assumptions!$B$28</f>
        <v>-14000</v>
      </c>
      <c r="G16" s="18" t="n">
        <f aca="false">-Assumptions!$B$28</f>
        <v>-14000</v>
      </c>
      <c r="H16" s="18" t="n">
        <f aca="false">-Assumptions!$B$28</f>
        <v>-14000</v>
      </c>
      <c r="I16" s="18" t="n">
        <f aca="false">-Assumptions!$B$28</f>
        <v>-14000</v>
      </c>
      <c r="J16" s="18" t="n">
        <f aca="false">-Assumptions!$B$28</f>
        <v>-14000</v>
      </c>
      <c r="K16" s="18" t="n">
        <f aca="false">-Assumptions!$B$28</f>
        <v>-14000</v>
      </c>
      <c r="L16" s="18" t="n">
        <f aca="false">-Assumptions!$B$28</f>
        <v>-14000</v>
      </c>
      <c r="M16" s="18" t="n">
        <f aca="false">-Assumptions!$B$28</f>
        <v>-14000</v>
      </c>
      <c r="N16" s="18" t="n">
        <f aca="false">-Assumptions!$B$28</f>
        <v>-14000</v>
      </c>
      <c r="O16" s="18" t="n">
        <f aca="false">-Assumptions!$B$28</f>
        <v>-14000</v>
      </c>
      <c r="P16" s="18" t="n">
        <f aca="false">-Assumptions!$B$28</f>
        <v>-14000</v>
      </c>
      <c r="Q16" s="18" t="n">
        <f aca="false">-Assumptions!$B$28</f>
        <v>-14000</v>
      </c>
      <c r="R16" s="18" t="n">
        <f aca="false">-Assumptions!$B$28</f>
        <v>-14000</v>
      </c>
      <c r="S16" s="18" t="n">
        <f aca="false">-Assumptions!$B$28</f>
        <v>-14000</v>
      </c>
      <c r="T16" s="18" t="n">
        <f aca="false">-Assumptions!$B$28</f>
        <v>-14000</v>
      </c>
      <c r="U16" s="18" t="n">
        <f aca="false">-Assumptions!$B$28</f>
        <v>-14000</v>
      </c>
      <c r="V16" s="18" t="n">
        <f aca="false">-Assumptions!$B$28</f>
        <v>-14000</v>
      </c>
      <c r="W16" s="18" t="n">
        <f aca="false">-Assumptions!$B$28</f>
        <v>-14000</v>
      </c>
      <c r="X16" s="18" t="n">
        <f aca="false">-Assumptions!$B$28</f>
        <v>-14000</v>
      </c>
      <c r="Y16" s="18" t="n">
        <f aca="false">-Assumptions!$B$28</f>
        <v>-14000</v>
      </c>
      <c r="Z16" s="18" t="n">
        <f aca="false">-Assumptions!$B$28</f>
        <v>-14000</v>
      </c>
      <c r="AA16" s="18" t="n">
        <f aca="false">-Assumptions!$B$28</f>
        <v>-14000</v>
      </c>
      <c r="AB16" s="18" t="n">
        <f aca="false">-Assumptions!$B$28</f>
        <v>-14000</v>
      </c>
      <c r="AC16" s="18" t="n">
        <f aca="false">-Assumptions!$B$28</f>
        <v>-14000</v>
      </c>
      <c r="AD16" s="18" t="n">
        <f aca="false">-Assumptions!$B$28</f>
        <v>-14000</v>
      </c>
      <c r="AE16" s="18" t="n">
        <f aca="false">-Assumptions!$B$28</f>
        <v>-14000</v>
      </c>
      <c r="AF16" s="18" t="n">
        <f aca="false">-Assumptions!$B$28</f>
        <v>-14000</v>
      </c>
      <c r="AG16" s="18" t="n">
        <f aca="false">-Assumptions!$B$28</f>
        <v>-14000</v>
      </c>
      <c r="AH16" s="18" t="n">
        <f aca="false">-Assumptions!$B$28</f>
        <v>-14000</v>
      </c>
      <c r="AI16" s="18" t="n">
        <f aca="false">-Assumptions!$B$28</f>
        <v>-14000</v>
      </c>
      <c r="AJ16" s="18" t="n">
        <f aca="false">-Assumptions!$B$28</f>
        <v>-14000</v>
      </c>
      <c r="AK16" s="18" t="n">
        <f aca="false">-Assumptions!$B$28</f>
        <v>-14000</v>
      </c>
    </row>
    <row r="17" customFormat="false" ht="15" hidden="false" customHeight="false" outlineLevel="0" collapsed="false">
      <c r="A17" s="5" t="s">
        <v>101</v>
      </c>
      <c r="B17" s="18" t="n">
        <f aca="false">-Assumptions!B$30*Assumptions!$B$29</f>
        <v>-24000</v>
      </c>
      <c r="C17" s="18" t="n">
        <f aca="false">-Assumptions!B$30*Assumptions!$B$29</f>
        <v>-24000</v>
      </c>
      <c r="D17" s="18" t="n">
        <f aca="false">-Assumptions!B$30*Assumptions!$B$29</f>
        <v>-24000</v>
      </c>
      <c r="E17" s="18" t="n">
        <f aca="false">-Assumptions!B$30*Assumptions!$B$29</f>
        <v>-24000</v>
      </c>
      <c r="F17" s="18" t="n">
        <f aca="false">-Assumptions!B$30*Assumptions!$B$29</f>
        <v>-24000</v>
      </c>
      <c r="G17" s="18" t="n">
        <f aca="false">-Assumptions!B$30*Assumptions!$B$29</f>
        <v>-24000</v>
      </c>
      <c r="H17" s="18" t="n">
        <f aca="false">-Assumptions!B$30*Assumptions!$B$29</f>
        <v>-24000</v>
      </c>
      <c r="I17" s="18" t="n">
        <f aca="false">-Assumptions!B$30*Assumptions!$B$29</f>
        <v>-24000</v>
      </c>
      <c r="J17" s="18" t="n">
        <f aca="false">-Assumptions!B$30*Assumptions!$B$29</f>
        <v>-24000</v>
      </c>
      <c r="K17" s="18" t="n">
        <f aca="false">-Assumptions!B$30*Assumptions!$B$29</f>
        <v>-24000</v>
      </c>
      <c r="L17" s="18" t="n">
        <f aca="false">-Assumptions!B$30*Assumptions!$B$29</f>
        <v>-24000</v>
      </c>
      <c r="M17" s="18" t="n">
        <f aca="false">-Assumptions!B$30*Assumptions!$B$29</f>
        <v>-24000</v>
      </c>
      <c r="N17" s="18" t="n">
        <f aca="false">-Assumptions!C$30*Assumptions!$B$29</f>
        <v>-40000</v>
      </c>
      <c r="O17" s="18" t="n">
        <f aca="false">-Assumptions!C$30*Assumptions!$B$29</f>
        <v>-40000</v>
      </c>
      <c r="P17" s="18" t="n">
        <f aca="false">-Assumptions!C$30*Assumptions!$B$29</f>
        <v>-40000</v>
      </c>
      <c r="Q17" s="18" t="n">
        <f aca="false">-Assumptions!C$30*Assumptions!$B$29</f>
        <v>-40000</v>
      </c>
      <c r="R17" s="18" t="n">
        <f aca="false">-Assumptions!C$30*Assumptions!$B$29</f>
        <v>-40000</v>
      </c>
      <c r="S17" s="18" t="n">
        <f aca="false">-Assumptions!C$30*Assumptions!$B$29</f>
        <v>-40000</v>
      </c>
      <c r="T17" s="18" t="n">
        <f aca="false">-Assumptions!C$30*Assumptions!$B$29</f>
        <v>-40000</v>
      </c>
      <c r="U17" s="18" t="n">
        <f aca="false">-Assumptions!C$30*Assumptions!$B$29</f>
        <v>-40000</v>
      </c>
      <c r="V17" s="18" t="n">
        <f aca="false">-Assumptions!C$30*Assumptions!$B$29</f>
        <v>-40000</v>
      </c>
      <c r="W17" s="18" t="n">
        <f aca="false">-Assumptions!C$30*Assumptions!$B$29</f>
        <v>-40000</v>
      </c>
      <c r="X17" s="18" t="n">
        <f aca="false">-Assumptions!C$30*Assumptions!$B$29</f>
        <v>-40000</v>
      </c>
      <c r="Y17" s="18" t="n">
        <f aca="false">-Assumptions!C$30*Assumptions!$B$29</f>
        <v>-40000</v>
      </c>
      <c r="Z17" s="18" t="n">
        <f aca="false">-Assumptions!D$30*Assumptions!$B$29</f>
        <v>-56000</v>
      </c>
      <c r="AA17" s="18" t="n">
        <f aca="false">-Assumptions!D$30*Assumptions!$B$29</f>
        <v>-56000</v>
      </c>
      <c r="AB17" s="18" t="n">
        <f aca="false">-Assumptions!D$30*Assumptions!$B$29</f>
        <v>-56000</v>
      </c>
      <c r="AC17" s="18" t="n">
        <f aca="false">-Assumptions!D$30*Assumptions!$B$29</f>
        <v>-56000</v>
      </c>
      <c r="AD17" s="18" t="n">
        <f aca="false">-Assumptions!D$30*Assumptions!$B$29</f>
        <v>-56000</v>
      </c>
      <c r="AE17" s="18" t="n">
        <f aca="false">-Assumptions!D$30*Assumptions!$B$29</f>
        <v>-56000</v>
      </c>
      <c r="AF17" s="18" t="n">
        <f aca="false">-Assumptions!D$30*Assumptions!$B$29</f>
        <v>-56000</v>
      </c>
      <c r="AG17" s="18" t="n">
        <f aca="false">-Assumptions!D$30*Assumptions!$B$29</f>
        <v>-56000</v>
      </c>
      <c r="AH17" s="18" t="n">
        <f aca="false">-Assumptions!D$30*Assumptions!$B$29</f>
        <v>-56000</v>
      </c>
      <c r="AI17" s="18" t="n">
        <f aca="false">-Assumptions!D$30*Assumptions!$B$29</f>
        <v>-56000</v>
      </c>
      <c r="AJ17" s="18" t="n">
        <f aca="false">-Assumptions!D$30*Assumptions!$B$29</f>
        <v>-56000</v>
      </c>
      <c r="AK17" s="18" t="n">
        <f aca="false">-Assumptions!D$30*Assumptions!$B$29</f>
        <v>-56000</v>
      </c>
    </row>
    <row r="18" customFormat="false" ht="15" hidden="false" customHeight="false" outlineLevel="0" collapsed="false">
      <c r="A18" s="5" t="s">
        <v>102</v>
      </c>
      <c r="B18" s="19" t="n">
        <f aca="false">-B10*Assumptions!$B$31</f>
        <v>-4332.60279412061</v>
      </c>
      <c r="C18" s="19" t="n">
        <f aca="false">-C10*Assumptions!$B$31</f>
        <v>-4828.04706060229</v>
      </c>
      <c r="D18" s="19" t="n">
        <f aca="false">-D10*Assumptions!$B$31</f>
        <v>-5380.14665249776</v>
      </c>
      <c r="E18" s="19" t="n">
        <f aca="false">-E10*Assumptions!$B$31</f>
        <v>-5995.38025190083</v>
      </c>
      <c r="F18" s="19" t="n">
        <f aca="false">-F10*Assumptions!$B$31</f>
        <v>-6680.96739485624</v>
      </c>
      <c r="G18" s="19" t="n">
        <f aca="false">-G10*Assumptions!$B$31</f>
        <v>-7444.95318991329</v>
      </c>
      <c r="H18" s="19" t="n">
        <f aca="false">-H10*Assumptions!$B$31</f>
        <v>-8296.30272446385</v>
      </c>
      <c r="I18" s="19" t="n">
        <f aca="false">-I10*Assumptions!$B$31</f>
        <v>-9245.00626668789</v>
      </c>
      <c r="J18" s="19" t="n">
        <f aca="false">-J10*Assumptions!$B$31</f>
        <v>-10302.1964976118</v>
      </c>
      <c r="K18" s="19" t="n">
        <f aca="false">-K10*Assumptions!$B$31</f>
        <v>-11480.2791489538</v>
      </c>
      <c r="L18" s="19" t="n">
        <f aca="false">-L10*Assumptions!$B$31</f>
        <v>-12793.0785797432</v>
      </c>
      <c r="M18" s="19" t="n">
        <f aca="false">-M10*Assumptions!$B$31</f>
        <v>-14256</v>
      </c>
      <c r="N18" s="19" t="n">
        <f aca="false">-N10*Assumptions!$B$31</f>
        <v>-15045.2671673227</v>
      </c>
      <c r="O18" s="19" t="n">
        <f aca="false">-O10*Assumptions!$B$31</f>
        <v>-15878.231210446</v>
      </c>
      <c r="P18" s="19" t="n">
        <f aca="false">-P10*Assumptions!$B$31</f>
        <v>-16757.3113570203</v>
      </c>
      <c r="Q18" s="19" t="n">
        <f aca="false">-Q10*Assumptions!$B$31</f>
        <v>-17685.0607724734</v>
      </c>
      <c r="R18" s="19" t="n">
        <f aca="false">-R10*Assumptions!$B$31</f>
        <v>-18664.1739753227</v>
      </c>
      <c r="S18" s="19" t="n">
        <f aca="false">-S10*Assumptions!$B$31</f>
        <v>-19697.4946630276</v>
      </c>
      <c r="T18" s="19" t="n">
        <f aca="false">-T10*Assumptions!$B$31</f>
        <v>-20788.0239711113</v>
      </c>
      <c r="U18" s="19" t="n">
        <f aca="false">-U10*Assumptions!$B$31</f>
        <v>-21938.9291895397</v>
      </c>
      <c r="V18" s="19" t="n">
        <f aca="false">-V10*Assumptions!$B$31</f>
        <v>-23153.5529616722</v>
      </c>
      <c r="W18" s="19" t="n">
        <f aca="false">-W10*Assumptions!$B$31</f>
        <v>-24435.4229925023</v>
      </c>
      <c r="X18" s="19" t="n">
        <f aca="false">-X10*Assumptions!$B$31</f>
        <v>-25788.2622943839</v>
      </c>
      <c r="Y18" s="19" t="n">
        <f aca="false">-Y10*Assumptions!$B$31</f>
        <v>-27216</v>
      </c>
      <c r="Z18" s="19" t="n">
        <f aca="false">-Z10*Assumptions!$B$31</f>
        <v>-28037.0807808848</v>
      </c>
      <c r="AA18" s="19" t="n">
        <f aca="false">-AA10*Assumptions!$B$31</f>
        <v>-28882.9327863705</v>
      </c>
      <c r="AB18" s="19" t="n">
        <f aca="false">-AB10*Assumptions!$B$31</f>
        <v>-29754.3033406942</v>
      </c>
      <c r="AC18" s="19" t="n">
        <f aca="false">-AC10*Assumptions!$B$31</f>
        <v>-30651.9623141532</v>
      </c>
      <c r="AD18" s="19" t="n">
        <f aca="false">-AD10*Assumptions!$B$31</f>
        <v>-31576.7028032976</v>
      </c>
      <c r="AE18" s="19" t="n">
        <f aca="false">-AE10*Assumptions!$B$31</f>
        <v>-32529.3418316448</v>
      </c>
      <c r="AF18" s="19" t="n">
        <f aca="false">-AF10*Assumptions!$B$31</f>
        <v>-33510.721071533</v>
      </c>
      <c r="AG18" s="19" t="n">
        <f aca="false">-AG10*Assumptions!$B$31</f>
        <v>-34521.7075877523</v>
      </c>
      <c r="AH18" s="19" t="n">
        <f aca="false">-AH10*Assumptions!$B$31</f>
        <v>-35563.1946036116</v>
      </c>
      <c r="AI18" s="19" t="n">
        <f aca="false">-AI10*Assumptions!$B$31</f>
        <v>-36636.1022901155</v>
      </c>
      <c r="AJ18" s="19" t="n">
        <f aca="false">-AJ10*Assumptions!$B$31</f>
        <v>-37741.3785789509</v>
      </c>
      <c r="AK18" s="19" t="n">
        <f aca="false">-AK10*Assumptions!$B$31</f>
        <v>-38880</v>
      </c>
    </row>
    <row r="19" customFormat="false" ht="15" hidden="false" customHeight="false" outlineLevel="0" collapsed="false">
      <c r="A19" s="5" t="s">
        <v>103</v>
      </c>
      <c r="B19" s="18" t="n">
        <f aca="false">-Assumptions!$B$32</f>
        <v>-11000</v>
      </c>
      <c r="C19" s="18" t="n">
        <f aca="false">-Assumptions!$B$32</f>
        <v>-11000</v>
      </c>
      <c r="D19" s="18" t="n">
        <f aca="false">-Assumptions!$B$32</f>
        <v>-11000</v>
      </c>
      <c r="E19" s="18" t="n">
        <f aca="false">-Assumptions!$B$32</f>
        <v>-11000</v>
      </c>
      <c r="F19" s="18" t="n">
        <f aca="false">-Assumptions!$B$32</f>
        <v>-11000</v>
      </c>
      <c r="G19" s="18" t="n">
        <f aca="false">-Assumptions!$B$32</f>
        <v>-11000</v>
      </c>
      <c r="H19" s="18" t="n">
        <f aca="false">-Assumptions!$B$32</f>
        <v>-11000</v>
      </c>
      <c r="I19" s="18" t="n">
        <f aca="false">-Assumptions!$B$32</f>
        <v>-11000</v>
      </c>
      <c r="J19" s="18" t="n">
        <f aca="false">-Assumptions!$B$32</f>
        <v>-11000</v>
      </c>
      <c r="K19" s="18" t="n">
        <f aca="false">-Assumptions!$B$32</f>
        <v>-11000</v>
      </c>
      <c r="L19" s="18" t="n">
        <f aca="false">-Assumptions!$B$32</f>
        <v>-11000</v>
      </c>
      <c r="M19" s="18" t="n">
        <f aca="false">-Assumptions!$B$32</f>
        <v>-11000</v>
      </c>
      <c r="N19" s="18" t="n">
        <f aca="false">-Assumptions!$B$32</f>
        <v>-11000</v>
      </c>
      <c r="O19" s="18" t="n">
        <f aca="false">-Assumptions!$B$32</f>
        <v>-11000</v>
      </c>
      <c r="P19" s="18" t="n">
        <f aca="false">-Assumptions!$B$32</f>
        <v>-11000</v>
      </c>
      <c r="Q19" s="18" t="n">
        <f aca="false">-Assumptions!$B$32</f>
        <v>-11000</v>
      </c>
      <c r="R19" s="18" t="n">
        <f aca="false">-Assumptions!$B$32</f>
        <v>-11000</v>
      </c>
      <c r="S19" s="18" t="n">
        <f aca="false">-Assumptions!$B$32</f>
        <v>-11000</v>
      </c>
      <c r="T19" s="18" t="n">
        <f aca="false">-Assumptions!$B$32</f>
        <v>-11000</v>
      </c>
      <c r="U19" s="18" t="n">
        <f aca="false">-Assumptions!$B$32</f>
        <v>-11000</v>
      </c>
      <c r="V19" s="18" t="n">
        <f aca="false">-Assumptions!$B$32</f>
        <v>-11000</v>
      </c>
      <c r="W19" s="18" t="n">
        <f aca="false">-Assumptions!$B$32</f>
        <v>-11000</v>
      </c>
      <c r="X19" s="18" t="n">
        <f aca="false">-Assumptions!$B$32</f>
        <v>-11000</v>
      </c>
      <c r="Y19" s="18" t="n">
        <f aca="false">-Assumptions!$B$32</f>
        <v>-11000</v>
      </c>
      <c r="Z19" s="18" t="n">
        <f aca="false">-Assumptions!$B$32</f>
        <v>-11000</v>
      </c>
      <c r="AA19" s="18" t="n">
        <f aca="false">-Assumptions!$B$32</f>
        <v>-11000</v>
      </c>
      <c r="AB19" s="18" t="n">
        <f aca="false">-Assumptions!$B$32</f>
        <v>-11000</v>
      </c>
      <c r="AC19" s="18" t="n">
        <f aca="false">-Assumptions!$B$32</f>
        <v>-11000</v>
      </c>
      <c r="AD19" s="18" t="n">
        <f aca="false">-Assumptions!$B$32</f>
        <v>-11000</v>
      </c>
      <c r="AE19" s="18" t="n">
        <f aca="false">-Assumptions!$B$32</f>
        <v>-11000</v>
      </c>
      <c r="AF19" s="18" t="n">
        <f aca="false">-Assumptions!$B$32</f>
        <v>-11000</v>
      </c>
      <c r="AG19" s="18" t="n">
        <f aca="false">-Assumptions!$B$32</f>
        <v>-11000</v>
      </c>
      <c r="AH19" s="18" t="n">
        <f aca="false">-Assumptions!$B$32</f>
        <v>-11000</v>
      </c>
      <c r="AI19" s="18" t="n">
        <f aca="false">-Assumptions!$B$32</f>
        <v>-11000</v>
      </c>
      <c r="AJ19" s="18" t="n">
        <f aca="false">-Assumptions!$B$32</f>
        <v>-11000</v>
      </c>
      <c r="AK19" s="18" t="n">
        <f aca="false">-Assumptions!$B$32</f>
        <v>-11000</v>
      </c>
    </row>
    <row r="20" customFormat="false" ht="15" hidden="false" customHeight="false" outlineLevel="0" collapsed="false">
      <c r="A20" s="5" t="s">
        <v>104</v>
      </c>
      <c r="B20" s="18" t="n">
        <f aca="false">-Assumptions!$B$33</f>
        <v>-7000</v>
      </c>
      <c r="C20" s="18" t="n">
        <f aca="false">-Assumptions!$B$33</f>
        <v>-7000</v>
      </c>
      <c r="D20" s="18" t="n">
        <f aca="false">-Assumptions!$B$33</f>
        <v>-7000</v>
      </c>
      <c r="E20" s="18" t="n">
        <f aca="false">-Assumptions!$B$33</f>
        <v>-7000</v>
      </c>
      <c r="F20" s="18" t="n">
        <f aca="false">-Assumptions!$B$33</f>
        <v>-7000</v>
      </c>
      <c r="G20" s="18" t="n">
        <f aca="false">-Assumptions!$B$33</f>
        <v>-7000</v>
      </c>
      <c r="H20" s="18" t="n">
        <f aca="false">-Assumptions!$B$33</f>
        <v>-7000</v>
      </c>
      <c r="I20" s="18" t="n">
        <f aca="false">-Assumptions!$B$33</f>
        <v>-7000</v>
      </c>
      <c r="J20" s="18" t="n">
        <f aca="false">-Assumptions!$B$33</f>
        <v>-7000</v>
      </c>
      <c r="K20" s="18" t="n">
        <f aca="false">-Assumptions!$B$33</f>
        <v>-7000</v>
      </c>
      <c r="L20" s="18" t="n">
        <f aca="false">-Assumptions!$B$33</f>
        <v>-7000</v>
      </c>
      <c r="M20" s="18" t="n">
        <f aca="false">-Assumptions!$B$33</f>
        <v>-7000</v>
      </c>
      <c r="N20" s="18" t="n">
        <f aca="false">-Assumptions!$B$33</f>
        <v>-7000</v>
      </c>
      <c r="O20" s="18" t="n">
        <f aca="false">-Assumptions!$B$33</f>
        <v>-7000</v>
      </c>
      <c r="P20" s="18" t="n">
        <f aca="false">-Assumptions!$B$33</f>
        <v>-7000</v>
      </c>
      <c r="Q20" s="18" t="n">
        <f aca="false">-Assumptions!$B$33</f>
        <v>-7000</v>
      </c>
      <c r="R20" s="18" t="n">
        <f aca="false">-Assumptions!$B$33</f>
        <v>-7000</v>
      </c>
      <c r="S20" s="18" t="n">
        <f aca="false">-Assumptions!$B$33</f>
        <v>-7000</v>
      </c>
      <c r="T20" s="18" t="n">
        <f aca="false">-Assumptions!$B$33</f>
        <v>-7000</v>
      </c>
      <c r="U20" s="18" t="n">
        <f aca="false">-Assumptions!$B$33</f>
        <v>-7000</v>
      </c>
      <c r="V20" s="18" t="n">
        <f aca="false">-Assumptions!$B$33</f>
        <v>-7000</v>
      </c>
      <c r="W20" s="18" t="n">
        <f aca="false">-Assumptions!$B$33</f>
        <v>-7000</v>
      </c>
      <c r="X20" s="18" t="n">
        <f aca="false">-Assumptions!$B$33</f>
        <v>-7000</v>
      </c>
      <c r="Y20" s="18" t="n">
        <f aca="false">-Assumptions!$B$33</f>
        <v>-7000</v>
      </c>
      <c r="Z20" s="18" t="n">
        <f aca="false">-Assumptions!$B$33</f>
        <v>-7000</v>
      </c>
      <c r="AA20" s="18" t="n">
        <f aca="false">-Assumptions!$B$33</f>
        <v>-7000</v>
      </c>
      <c r="AB20" s="18" t="n">
        <f aca="false">-Assumptions!$B$33</f>
        <v>-7000</v>
      </c>
      <c r="AC20" s="18" t="n">
        <f aca="false">-Assumptions!$B$33</f>
        <v>-7000</v>
      </c>
      <c r="AD20" s="18" t="n">
        <f aca="false">-Assumptions!$B$33</f>
        <v>-7000</v>
      </c>
      <c r="AE20" s="18" t="n">
        <f aca="false">-Assumptions!$B$33</f>
        <v>-7000</v>
      </c>
      <c r="AF20" s="18" t="n">
        <f aca="false">-Assumptions!$B$33</f>
        <v>-7000</v>
      </c>
      <c r="AG20" s="18" t="n">
        <f aca="false">-Assumptions!$B$33</f>
        <v>-7000</v>
      </c>
      <c r="AH20" s="18" t="n">
        <f aca="false">-Assumptions!$B$33</f>
        <v>-7000</v>
      </c>
      <c r="AI20" s="18" t="n">
        <f aca="false">-Assumptions!$B$33</f>
        <v>-7000</v>
      </c>
      <c r="AJ20" s="18" t="n">
        <f aca="false">-Assumptions!$B$33</f>
        <v>-7000</v>
      </c>
      <c r="AK20" s="18" t="n">
        <f aca="false">-Assumptions!$B$33</f>
        <v>-7000</v>
      </c>
    </row>
    <row r="21" customFormat="false" ht="15" hidden="false" customHeight="false" outlineLevel="0" collapsed="false">
      <c r="A21" s="5" t="s">
        <v>105</v>
      </c>
      <c r="B21" s="18" t="n">
        <f aca="false">-Assumptions!$B$34</f>
        <v>-2000</v>
      </c>
      <c r="C21" s="18" t="n">
        <f aca="false">-Assumptions!$B$34</f>
        <v>-2000</v>
      </c>
      <c r="D21" s="18" t="n">
        <f aca="false">-Assumptions!$B$34</f>
        <v>-2000</v>
      </c>
      <c r="E21" s="18" t="n">
        <f aca="false">-Assumptions!$B$34</f>
        <v>-2000</v>
      </c>
      <c r="F21" s="18" t="n">
        <f aca="false">-Assumptions!$B$34</f>
        <v>-2000</v>
      </c>
      <c r="G21" s="18" t="n">
        <f aca="false">-Assumptions!$B$34</f>
        <v>-2000</v>
      </c>
      <c r="H21" s="18" t="n">
        <f aca="false">-Assumptions!$B$34</f>
        <v>-2000</v>
      </c>
      <c r="I21" s="18" t="n">
        <f aca="false">-Assumptions!$B$34</f>
        <v>-2000</v>
      </c>
      <c r="J21" s="18" t="n">
        <f aca="false">-Assumptions!$B$34</f>
        <v>-2000</v>
      </c>
      <c r="K21" s="18" t="n">
        <f aca="false">-Assumptions!$B$34</f>
        <v>-2000</v>
      </c>
      <c r="L21" s="18" t="n">
        <f aca="false">-Assumptions!$B$34</f>
        <v>-2000</v>
      </c>
      <c r="M21" s="18" t="n">
        <f aca="false">-Assumptions!$B$34</f>
        <v>-2000</v>
      </c>
      <c r="N21" s="18" t="n">
        <f aca="false">-Assumptions!$B$34</f>
        <v>-2000</v>
      </c>
      <c r="O21" s="18" t="n">
        <f aca="false">-Assumptions!$B$34</f>
        <v>-2000</v>
      </c>
      <c r="P21" s="18" t="n">
        <f aca="false">-Assumptions!$B$34</f>
        <v>-2000</v>
      </c>
      <c r="Q21" s="18" t="n">
        <f aca="false">-Assumptions!$B$34</f>
        <v>-2000</v>
      </c>
      <c r="R21" s="18" t="n">
        <f aca="false">-Assumptions!$B$34</f>
        <v>-2000</v>
      </c>
      <c r="S21" s="18" t="n">
        <f aca="false">-Assumptions!$B$34</f>
        <v>-2000</v>
      </c>
      <c r="T21" s="18" t="n">
        <f aca="false">-Assumptions!$B$34</f>
        <v>-2000</v>
      </c>
      <c r="U21" s="18" t="n">
        <f aca="false">-Assumptions!$B$34</f>
        <v>-2000</v>
      </c>
      <c r="V21" s="18" t="n">
        <f aca="false">-Assumptions!$B$34</f>
        <v>-2000</v>
      </c>
      <c r="W21" s="18" t="n">
        <f aca="false">-Assumptions!$B$34</f>
        <v>-2000</v>
      </c>
      <c r="X21" s="18" t="n">
        <f aca="false">-Assumptions!$B$34</f>
        <v>-2000</v>
      </c>
      <c r="Y21" s="18" t="n">
        <f aca="false">-Assumptions!$B$34</f>
        <v>-2000</v>
      </c>
      <c r="Z21" s="18" t="n">
        <f aca="false">-Assumptions!$B$34</f>
        <v>-2000</v>
      </c>
      <c r="AA21" s="18" t="n">
        <f aca="false">-Assumptions!$B$34</f>
        <v>-2000</v>
      </c>
      <c r="AB21" s="18" t="n">
        <f aca="false">-Assumptions!$B$34</f>
        <v>-2000</v>
      </c>
      <c r="AC21" s="18" t="n">
        <f aca="false">-Assumptions!$B$34</f>
        <v>-2000</v>
      </c>
      <c r="AD21" s="18" t="n">
        <f aca="false">-Assumptions!$B$34</f>
        <v>-2000</v>
      </c>
      <c r="AE21" s="18" t="n">
        <f aca="false">-Assumptions!$B$34</f>
        <v>-2000</v>
      </c>
      <c r="AF21" s="18" t="n">
        <f aca="false">-Assumptions!$B$34</f>
        <v>-2000</v>
      </c>
      <c r="AG21" s="18" t="n">
        <f aca="false">-Assumptions!$B$34</f>
        <v>-2000</v>
      </c>
      <c r="AH21" s="18" t="n">
        <f aca="false">-Assumptions!$B$34</f>
        <v>-2000</v>
      </c>
      <c r="AI21" s="18" t="n">
        <f aca="false">-Assumptions!$B$34</f>
        <v>-2000</v>
      </c>
      <c r="AJ21" s="18" t="n">
        <f aca="false">-Assumptions!$B$34</f>
        <v>-2000</v>
      </c>
      <c r="AK21" s="18" t="n">
        <f aca="false">-Assumptions!$B$34</f>
        <v>-2000</v>
      </c>
    </row>
    <row r="22" customFormat="false" ht="15" hidden="false" customHeight="false" outlineLevel="0" collapsed="false">
      <c r="A22" s="5" t="s">
        <v>106</v>
      </c>
      <c r="B22" s="18" t="n">
        <f aca="false">-'Member Build'!B8*Assumptions!$B$35</f>
        <v>-2465.28855756408</v>
      </c>
      <c r="C22" s="18" t="n">
        <f aca="false">-'Member Build'!C8*Assumptions!$B$35</f>
        <v>-2747.2006411563</v>
      </c>
      <c r="D22" s="18" t="n">
        <f aca="false">-'Member Build'!D8*Assumptions!$B$35</f>
        <v>-3061.35009616351</v>
      </c>
      <c r="E22" s="18" t="n">
        <f aca="false">-'Member Build'!E8*Assumptions!$B$35</f>
        <v>-3411.42334887331</v>
      </c>
      <c r="F22" s="18" t="n">
        <f aca="false">-'Member Build'!F8*Assumptions!$B$35</f>
        <v>-3801.52837789526</v>
      </c>
      <c r="G22" s="18" t="n">
        <f aca="false">-'Member Build'!G8*Assumptions!$B$35</f>
        <v>-4236.24291975252</v>
      </c>
      <c r="H22" s="18" t="n">
        <f aca="false">-'Member Build'!H8*Assumptions!$B$35</f>
        <v>-4720.66818690674</v>
      </c>
      <c r="I22" s="18" t="n">
        <f aca="false">-'Member Build'!I8*Assumptions!$B$35</f>
        <v>-5260.48872857727</v>
      </c>
      <c r="J22" s="18" t="n">
        <f aca="false">-'Member Build'!J8*Assumptions!$B$35</f>
        <v>-5862.03913679883</v>
      </c>
      <c r="K22" s="18" t="n">
        <f aca="false">-'Member Build'!K8*Assumptions!$B$35</f>
        <v>-6532.37838048843</v>
      </c>
      <c r="L22" s="18" t="n">
        <f aca="false">-'Member Build'!L8*Assumptions!$B$35</f>
        <v>-7279.37263980381</v>
      </c>
      <c r="M22" s="18" t="n">
        <f aca="false">-'Member Build'!M8*Assumptions!$B$35</f>
        <v>-8111.78761282385</v>
      </c>
      <c r="N22" s="18" t="n">
        <f aca="false">-'Member Build'!N8*Assumptions!$B$35</f>
        <v>-5795.01221960912</v>
      </c>
      <c r="O22" s="18" t="n">
        <f aca="false">-'Member Build'!O8*Assumptions!$B$35</f>
        <v>-6115.84645636355</v>
      </c>
      <c r="P22" s="18" t="n">
        <f aca="false">-'Member Build'!P8*Assumptions!$B$35</f>
        <v>-6454.44331441592</v>
      </c>
      <c r="Q22" s="18" t="n">
        <f aca="false">-'Member Build'!Q8*Assumptions!$B$35</f>
        <v>-6811.78620101903</v>
      </c>
      <c r="R22" s="18" t="n">
        <f aca="false">-'Member Build'!R8*Assumptions!$B$35</f>
        <v>-7188.91296864571</v>
      </c>
      <c r="S22" s="18" t="n">
        <f aca="false">-'Member Build'!S8*Assumptions!$B$35</f>
        <v>-7586.91892928631</v>
      </c>
      <c r="T22" s="18" t="n">
        <f aca="false">-'Member Build'!T8*Assumptions!$B$35</f>
        <v>-8006.96003562923</v>
      </c>
      <c r="U22" s="18" t="n">
        <f aca="false">-'Member Build'!U8*Assumptions!$B$35</f>
        <v>-8450.256238364</v>
      </c>
      <c r="V22" s="18" t="n">
        <f aca="false">-'Member Build'!V8*Assumptions!$B$35</f>
        <v>-8918.09502935758</v>
      </c>
      <c r="W22" s="18" t="n">
        <f aca="false">-'Member Build'!W8*Assumptions!$B$35</f>
        <v>-9411.83518099447</v>
      </c>
      <c r="X22" s="18" t="n">
        <f aca="false">-'Member Build'!X8*Assumptions!$B$35</f>
        <v>-9932.91069254129</v>
      </c>
      <c r="Y22" s="18" t="n">
        <f aca="false">-'Member Build'!Y8*Assumptions!$B$35</f>
        <v>-10482.8349549972</v>
      </c>
      <c r="Z22" s="18" t="n">
        <f aca="false">-'Member Build'!Z8*Assumptions!$B$35</f>
        <v>-8417.74992625296</v>
      </c>
      <c r="AA22" s="18" t="n">
        <f aca="false">-'Member Build'!AA8*Assumptions!$B$35</f>
        <v>-8671.70541871109</v>
      </c>
      <c r="AB22" s="18" t="n">
        <f aca="false">-'Member Build'!AB8*Assumptions!$B$35</f>
        <v>-8933.32250633595</v>
      </c>
      <c r="AC22" s="18" t="n">
        <f aca="false">-'Member Build'!AC8*Assumptions!$B$35</f>
        <v>-9202.83233215156</v>
      </c>
      <c r="AD22" s="18" t="n">
        <f aca="false">-'Member Build'!AD8*Assumptions!$B$35</f>
        <v>-9480.47301254672</v>
      </c>
      <c r="AE22" s="18" t="n">
        <f aca="false">-'Member Build'!AE8*Assumptions!$B$35</f>
        <v>-9766.4898476547</v>
      </c>
      <c r="AF22" s="18" t="n">
        <f aca="false">-'Member Build'!AF8*Assumptions!$B$35</f>
        <v>-10061.13553808</v>
      </c>
      <c r="AG22" s="18" t="n">
        <f aca="false">-'Member Build'!AG8*Assumptions!$B$35</f>
        <v>-10364.6704081636</v>
      </c>
      <c r="AH22" s="18" t="n">
        <f aca="false">-'Member Build'!AH8*Assumptions!$B$35</f>
        <v>-10677.3626359835</v>
      </c>
      <c r="AI22" s="18" t="n">
        <f aca="false">-'Member Build'!AI8*Assumptions!$B$35</f>
        <v>-10999.4884902951</v>
      </c>
      <c r="AJ22" s="18" t="n">
        <f aca="false">-'Member Build'!AJ8*Assumptions!$B$35</f>
        <v>-11331.3325746185</v>
      </c>
      <c r="AK22" s="18" t="n">
        <f aca="false">-'Member Build'!AK8*Assumptions!$B$35</f>
        <v>-11673.1880786908</v>
      </c>
    </row>
    <row r="23" customFormat="false" ht="15" hidden="false" customHeight="false" outlineLevel="0" collapsed="false">
      <c r="A23" s="15" t="s">
        <v>107</v>
      </c>
      <c r="B23" s="20" t="n">
        <f aca="false">SUM(B15:B22)</f>
        <v>-109797.891351685</v>
      </c>
      <c r="C23" s="20" t="n">
        <f aca="false">SUM(C15:C22)</f>
        <v>-110575.247701759</v>
      </c>
      <c r="D23" s="20" t="n">
        <f aca="false">SUM(D15:D22)</f>
        <v>-111441.496748661</v>
      </c>
      <c r="E23" s="20" t="n">
        <f aca="false">SUM(E15:E22)</f>
        <v>-112406.803600774</v>
      </c>
      <c r="F23" s="20" t="n">
        <f aca="false">SUM(F15:F22)</f>
        <v>-113482.495772752</v>
      </c>
      <c r="G23" s="20" t="n">
        <f aca="false">SUM(G15:G22)</f>
        <v>-114681.196109666</v>
      </c>
      <c r="H23" s="20" t="n">
        <f aca="false">SUM(H15:H22)</f>
        <v>-116016.970911371</v>
      </c>
      <c r="I23" s="20" t="n">
        <f aca="false">SUM(I15:I22)</f>
        <v>-117505.494995265</v>
      </c>
      <c r="J23" s="20" t="n">
        <f aca="false">SUM(J15:J22)</f>
        <v>-119164.235634411</v>
      </c>
      <c r="K23" s="20" t="n">
        <f aca="false">SUM(K15:K22)</f>
        <v>-121012.657529442</v>
      </c>
      <c r="L23" s="20" t="n">
        <f aca="false">SUM(L15:L22)</f>
        <v>-123072.451219547</v>
      </c>
      <c r="M23" s="20" t="n">
        <f aca="false">SUM(M15:M22)</f>
        <v>-125367.787612824</v>
      </c>
      <c r="N23" s="20" t="n">
        <f aca="false">SUM(N15:N22)</f>
        <v>-139840.279386932</v>
      </c>
      <c r="O23" s="20" t="n">
        <f aca="false">SUM(O15:O22)</f>
        <v>-140994.07766681</v>
      </c>
      <c r="P23" s="20" t="n">
        <f aca="false">SUM(P15:P22)</f>
        <v>-142211.754671436</v>
      </c>
      <c r="Q23" s="20" t="n">
        <f aca="false">SUM(Q15:Q22)</f>
        <v>-143496.846973492</v>
      </c>
      <c r="R23" s="20" t="n">
        <f aca="false">SUM(R15:R22)</f>
        <v>-144853.086943968</v>
      </c>
      <c r="S23" s="20" t="n">
        <f aca="false">SUM(S15:S22)</f>
        <v>-146284.413592314</v>
      </c>
      <c r="T23" s="20" t="n">
        <f aca="false">SUM(T15:T22)</f>
        <v>-147794.984006741</v>
      </c>
      <c r="U23" s="20" t="n">
        <f aca="false">SUM(U15:U22)</f>
        <v>-149389.185427904</v>
      </c>
      <c r="V23" s="20" t="n">
        <f aca="false">SUM(V15:V22)</f>
        <v>-151071.64799103</v>
      </c>
      <c r="W23" s="20" t="n">
        <f aca="false">SUM(W15:W22)</f>
        <v>-152847.258173497</v>
      </c>
      <c r="X23" s="20" t="n">
        <f aca="false">SUM(X15:X22)</f>
        <v>-154721.172986925</v>
      </c>
      <c r="Y23" s="20" t="n">
        <f aca="false">SUM(Y15:Y22)</f>
        <v>-156698.834954997</v>
      </c>
      <c r="Z23" s="20" t="n">
        <f aca="false">SUM(Z15:Z22)</f>
        <v>-171454.830707138</v>
      </c>
      <c r="AA23" s="20" t="n">
        <f aca="false">SUM(AA15:AA22)</f>
        <v>-172554.638205082</v>
      </c>
      <c r="AB23" s="20" t="n">
        <f aca="false">SUM(AB15:AB22)</f>
        <v>-173687.62584703</v>
      </c>
      <c r="AC23" s="20" t="n">
        <f aca="false">SUM(AC15:AC22)</f>
        <v>-174854.794646305</v>
      </c>
      <c r="AD23" s="20" t="n">
        <f aca="false">SUM(AD15:AD22)</f>
        <v>-176057.175815844</v>
      </c>
      <c r="AE23" s="20" t="n">
        <f aca="false">SUM(AE15:AE22)</f>
        <v>-177295.8316793</v>
      </c>
      <c r="AF23" s="20" t="n">
        <f aca="false">SUM(AF15:AF22)</f>
        <v>-178571.856609613</v>
      </c>
      <c r="AG23" s="20" t="n">
        <f aca="false">SUM(AG15:AG22)</f>
        <v>-179886.377995916</v>
      </c>
      <c r="AH23" s="20" t="n">
        <f aca="false">SUM(AH15:AH22)</f>
        <v>-181240.557239595</v>
      </c>
      <c r="AI23" s="20" t="n">
        <f aca="false">SUM(AI15:AI22)</f>
        <v>-182635.590780411</v>
      </c>
      <c r="AJ23" s="20" t="n">
        <f aca="false">SUM(AJ15:AJ22)</f>
        <v>-184072.711153569</v>
      </c>
      <c r="AK23" s="20" t="n">
        <f aca="false">SUM(AK15:AK22)</f>
        <v>-185553.188078691</v>
      </c>
    </row>
    <row r="25" customFormat="false" ht="15" hidden="false" customHeight="false" outlineLevel="0" collapsed="false">
      <c r="A25" s="15" t="s">
        <v>108</v>
      </c>
      <c r="B25" s="20" t="n">
        <f aca="false">B12+B23</f>
        <v>-71152.1442065965</v>
      </c>
      <c r="C25" s="20" t="n">
        <f aca="false">C12+C23</f>
        <v>-67510.2600315715</v>
      </c>
      <c r="D25" s="20" t="n">
        <f aca="false">D12+D23</f>
        <v>-63451.9170396535</v>
      </c>
      <c r="E25" s="20" t="n">
        <f aca="false">E12+E23</f>
        <v>-58929.4920946216</v>
      </c>
      <c r="F25" s="20" t="n">
        <f aca="false">F12+F23</f>
        <v>-53889.9162322128</v>
      </c>
      <c r="G25" s="20" t="n">
        <f aca="false">G12+G23</f>
        <v>-48274.0519156862</v>
      </c>
      <c r="H25" s="20" t="n">
        <f aca="false">H12+H23</f>
        <v>-42015.9990789616</v>
      </c>
      <c r="I25" s="20" t="n">
        <f aca="false">I12+I23</f>
        <v>-35042.3218140059</v>
      </c>
      <c r="J25" s="20" t="n">
        <f aca="false">J12+J23</f>
        <v>-27271.1866279354</v>
      </c>
      <c r="K25" s="20" t="n">
        <f aca="false">K12+K23</f>
        <v>-18611.4021576015</v>
      </c>
      <c r="L25" s="20" t="n">
        <f aca="false">L12+L23</f>
        <v>-8961.34907307199</v>
      </c>
      <c r="M25" s="20" t="n">
        <f aca="false">M12+M23</f>
        <v>1792.2123871762</v>
      </c>
      <c r="N25" s="20" t="n">
        <f aca="false">N12+N23</f>
        <v>-5640.21113519548</v>
      </c>
      <c r="O25" s="20" t="n">
        <f aca="false">O12+O23</f>
        <v>635.824179452495</v>
      </c>
      <c r="P25" s="20" t="n">
        <f aca="false">P12+P23</f>
        <v>7259.32502544235</v>
      </c>
      <c r="Q25" s="20" t="n">
        <f aca="false">Q12+Q23</f>
        <v>14249.5284352982</v>
      </c>
      <c r="R25" s="20" t="n">
        <f aca="false">R12+R23</f>
        <v>21626.7364778916</v>
      </c>
      <c r="S25" s="20" t="n">
        <f aca="false">S12+S23</f>
        <v>29412.3752229631</v>
      </c>
      <c r="T25" s="20" t="n">
        <f aca="false">T12+T23</f>
        <v>37629.0569701473</v>
      </c>
      <c r="U25" s="20" t="n">
        <f aca="false">U12+U23</f>
        <v>46300.6459232374</v>
      </c>
      <c r="V25" s="20" t="n">
        <f aca="false">V12+V23</f>
        <v>55452.3275004289</v>
      </c>
      <c r="W25" s="20" t="n">
        <f aca="false">W12+W23</f>
        <v>65110.6814818482</v>
      </c>
      <c r="X25" s="20" t="n">
        <f aca="false">X12+X23</f>
        <v>75303.759206808</v>
      </c>
      <c r="Y25" s="20" t="n">
        <f aca="false">Y12+Y23</f>
        <v>86061.1650450029</v>
      </c>
      <c r="Z25" s="20" t="n">
        <f aca="false">Z12+Z23</f>
        <v>78629.0071223592</v>
      </c>
      <c r="AA25" s="20" t="n">
        <f aca="false">AA12+AA23</f>
        <v>85073.9906610006</v>
      </c>
      <c r="AB25" s="20" t="n">
        <f aca="false">AB12+AB23</f>
        <v>91713.4132103965</v>
      </c>
      <c r="AC25" s="20" t="n">
        <f aca="false">AC12+AC23</f>
        <v>98553.140810185</v>
      </c>
      <c r="AD25" s="20" t="n">
        <f aca="false">AD12+AD23</f>
        <v>105599.216472829</v>
      </c>
      <c r="AE25" s="20" t="n">
        <f aca="false">AE12+AE23</f>
        <v>112857.865522718</v>
      </c>
      <c r="AF25" s="20" t="n">
        <f aca="false">AF12+AF23</f>
        <v>120335.501096344</v>
      </c>
      <c r="AG25" s="20" t="n">
        <f aca="false">AG12+AG23</f>
        <v>128038.729808418</v>
      </c>
      <c r="AH25" s="20" t="n">
        <f aca="false">AH12+AH23</f>
        <v>135974.357588916</v>
      </c>
      <c r="AI25" s="20" t="n">
        <f aca="false">AI12+AI23</f>
        <v>144149.395696237</v>
      </c>
      <c r="AJ25" s="20" t="n">
        <f aca="false">AJ12+AJ23</f>
        <v>152571.066911764</v>
      </c>
      <c r="AK25" s="20" t="n">
        <f aca="false">AK12+AK23</f>
        <v>161246.811921309</v>
      </c>
    </row>
    <row r="26" customFormat="false" ht="15" hidden="false" customHeight="false" outlineLevel="0" collapsed="false">
      <c r="A26" s="5" t="s">
        <v>109</v>
      </c>
      <c r="B26" s="19" t="n">
        <f aca="false">B25-Assumptions!$B$41</f>
        <v>-711152.144206597</v>
      </c>
      <c r="C26" s="19" t="n">
        <f aca="false">B26+C25</f>
        <v>-778662.404238168</v>
      </c>
      <c r="D26" s="19" t="n">
        <f aca="false">C26+D25</f>
        <v>-842114.321277822</v>
      </c>
      <c r="E26" s="19" t="n">
        <f aca="false">D26+E25</f>
        <v>-901043.813372443</v>
      </c>
      <c r="F26" s="19" t="n">
        <f aca="false">E26+F25</f>
        <v>-954933.729604656</v>
      </c>
      <c r="G26" s="19" t="n">
        <f aca="false">F26+G25</f>
        <v>-1003207.78152034</v>
      </c>
      <c r="H26" s="19" t="n">
        <f aca="false">G26+H25</f>
        <v>-1045223.7805993</v>
      </c>
      <c r="I26" s="19" t="n">
        <f aca="false">H26+I25</f>
        <v>-1080266.10241331</v>
      </c>
      <c r="J26" s="19" t="n">
        <f aca="false">I26+J25</f>
        <v>-1107537.28904125</v>
      </c>
      <c r="K26" s="19" t="n">
        <f aca="false">J26+K25</f>
        <v>-1126148.69119885</v>
      </c>
      <c r="L26" s="19" t="n">
        <f aca="false">K26+L25</f>
        <v>-1135110.04027192</v>
      </c>
      <c r="M26" s="19" t="n">
        <f aca="false">L26+M25</f>
        <v>-1133317.82788474</v>
      </c>
      <c r="N26" s="19" t="n">
        <f aca="false">M26+N25</f>
        <v>-1138958.03901994</v>
      </c>
      <c r="O26" s="19" t="n">
        <f aca="false">N26+O25</f>
        <v>-1138322.21484049</v>
      </c>
      <c r="P26" s="19" t="n">
        <f aca="false">O26+P25</f>
        <v>-1131062.88981504</v>
      </c>
      <c r="Q26" s="19" t="n">
        <f aca="false">P26+Q25</f>
        <v>-1116813.36137974</v>
      </c>
      <c r="R26" s="19" t="n">
        <f aca="false">Q26+R25</f>
        <v>-1095186.62490185</v>
      </c>
      <c r="S26" s="19" t="n">
        <f aca="false">R26+S25</f>
        <v>-1065774.24967889</v>
      </c>
      <c r="T26" s="19" t="n">
        <f aca="false">S26+T25</f>
        <v>-1028145.19270874</v>
      </c>
      <c r="U26" s="19" t="n">
        <f aca="false">T26+U25</f>
        <v>-981844.546785505</v>
      </c>
      <c r="V26" s="19" t="n">
        <f aca="false">U26+V25</f>
        <v>-926392.219285076</v>
      </c>
      <c r="W26" s="19" t="n">
        <f aca="false">V26+W25</f>
        <v>-861281.537803228</v>
      </c>
      <c r="X26" s="19" t="n">
        <f aca="false">W26+X25</f>
        <v>-785977.77859642</v>
      </c>
      <c r="Y26" s="19" t="n">
        <f aca="false">X26+Y25</f>
        <v>-699916.613551417</v>
      </c>
      <c r="Z26" s="19" t="n">
        <f aca="false">Y26+Z25</f>
        <v>-621287.606429058</v>
      </c>
      <c r="AA26" s="19" t="n">
        <f aca="false">Z26+AA25</f>
        <v>-536213.615768057</v>
      </c>
      <c r="AB26" s="19" t="n">
        <f aca="false">AA26+AB25</f>
        <v>-444500.202557661</v>
      </c>
      <c r="AC26" s="19" t="n">
        <f aca="false">AB26+AC25</f>
        <v>-345947.061747476</v>
      </c>
      <c r="AD26" s="19" t="n">
        <f aca="false">AC26+AD25</f>
        <v>-240347.845274647</v>
      </c>
      <c r="AE26" s="19" t="n">
        <f aca="false">AD26+AE25</f>
        <v>-127489.979751929</v>
      </c>
      <c r="AF26" s="19" t="n">
        <f aca="false">AE26+AF25</f>
        <v>-7154.47865558465</v>
      </c>
      <c r="AG26" s="19" t="n">
        <f aca="false">AF26+AG25</f>
        <v>120884.251152833</v>
      </c>
      <c r="AH26" s="19" t="n">
        <f aca="false">AG26+AH25</f>
        <v>256858.608741749</v>
      </c>
      <c r="AI26" s="19" t="n">
        <f aca="false">AH26+AI25</f>
        <v>401008.004437986</v>
      </c>
      <c r="AJ26" s="19" t="n">
        <f aca="false">AI26+AJ25</f>
        <v>553579.07134975</v>
      </c>
      <c r="AK26" s="19" t="n">
        <f aca="false">AJ26+AK25</f>
        <v>714825.88327106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5"/>
  </cols>
  <sheetData>
    <row r="1" customFormat="false" ht="15" hidden="false" customHeight="false" outlineLevel="0" collapsed="false">
      <c r="A1" s="3" t="s">
        <v>110</v>
      </c>
    </row>
    <row r="2" customFormat="false" ht="15" hidden="false" customHeight="false" outlineLevel="0" collapsed="false">
      <c r="A2" s="2" t="s">
        <v>111</v>
      </c>
    </row>
    <row r="4" customFormat="false" ht="15" hidden="false" customHeight="false" outlineLevel="0" collapsed="false">
      <c r="A4" s="3" t="s">
        <v>112</v>
      </c>
    </row>
    <row r="5" customFormat="false" ht="15" hidden="false" customHeight="false" outlineLevel="0" collapsed="false">
      <c r="A5" s="17" t="s">
        <v>113</v>
      </c>
      <c r="B5" s="17" t="s">
        <v>114</v>
      </c>
      <c r="C5" s="17" t="s">
        <v>115</v>
      </c>
      <c r="D5" s="17" t="s">
        <v>116</v>
      </c>
      <c r="E5" s="17" t="s">
        <v>117</v>
      </c>
      <c r="F5" s="17" t="s">
        <v>118</v>
      </c>
    </row>
    <row r="6" customFormat="false" ht="15" hidden="false" customHeight="false" outlineLevel="0" collapsed="false">
      <c r="A6" s="5" t="s">
        <v>119</v>
      </c>
      <c r="B6" s="18" t="n">
        <f aca="false">SUM('Monthly P&amp;L'!B8:M8)</f>
        <v>381999.465085357</v>
      </c>
      <c r="C6" s="18" t="n">
        <f aca="false">SUM('Monthly P&amp;L'!N8:Y8)</f>
        <v>934053.919535979</v>
      </c>
      <c r="D6" s="18" t="n">
        <f aca="false">SUM('Monthly P&amp;L'!Z8:AK8)</f>
        <v>1505863.1150819</v>
      </c>
      <c r="E6" s="19" t="n">
        <f aca="false">SUM(B6:D6)</f>
        <v>2821916.49970323</v>
      </c>
      <c r="F6" s="13" t="n">
        <f aca="false">E6/$E$10</f>
        <v>0.423875432525952</v>
      </c>
    </row>
    <row r="7" customFormat="false" ht="15" hidden="false" customHeight="false" outlineLevel="0" collapsed="false">
      <c r="A7" s="5" t="s">
        <v>120</v>
      </c>
      <c r="B7" s="18" t="n">
        <f aca="false">SUM('Monthly P&amp;L'!B9:M9)</f>
        <v>257264.945873812</v>
      </c>
      <c r="C7" s="18" t="n">
        <f aca="false">SUM('Monthly P&amp;L'!N9:Y9)</f>
        <v>629056.721320149</v>
      </c>
      <c r="D7" s="18" t="n">
        <f aca="false">SUM('Monthly P&amp;L'!Z9:AK9)</f>
        <v>1014152.7101572</v>
      </c>
      <c r="E7" s="19" t="n">
        <f aca="false">SUM(B7:D7)</f>
        <v>1900474.37735116</v>
      </c>
      <c r="F7" s="13" t="n">
        <f aca="false">E7/$E$10</f>
        <v>0.285467128027682</v>
      </c>
    </row>
    <row r="8" customFormat="false" ht="15" hidden="false" customHeight="false" outlineLevel="0" collapsed="false">
      <c r="A8" s="5" t="s">
        <v>121</v>
      </c>
      <c r="B8" s="18" t="n">
        <f aca="false">SUM('Monthly P&amp;L'!B10:M10)</f>
        <v>224522.134580781</v>
      </c>
      <c r="C8" s="18" t="n">
        <f aca="false">SUM('Monthly P&amp;L'!N10:Y10)</f>
        <v>548994.956788494</v>
      </c>
      <c r="D8" s="18" t="n">
        <f aca="false">SUM('Monthly P&amp;L'!Z10:AK10)</f>
        <v>885078.728864463</v>
      </c>
      <c r="E8" s="19" t="n">
        <f aca="false">SUM(B8:D8)</f>
        <v>1658595.82023374</v>
      </c>
      <c r="F8" s="13" t="n">
        <f aca="false">E8/$E$10</f>
        <v>0.249134948096886</v>
      </c>
    </row>
    <row r="9" customFormat="false" ht="15" hidden="false" customHeight="false" outlineLevel="0" collapsed="false">
      <c r="A9" s="5" t="s">
        <v>122</v>
      </c>
      <c r="B9" s="18" t="n">
        <f aca="false">SUM('Monthly P&amp;L'!B11:M11)</f>
        <v>37420.3557634635</v>
      </c>
      <c r="C9" s="18" t="n">
        <f aca="false">SUM('Monthly P&amp;L'!N11:Y11)</f>
        <v>91499.1594647489</v>
      </c>
      <c r="D9" s="18" t="n">
        <f aca="false">SUM('Monthly P&amp;L'!Z11:AK11)</f>
        <v>147513.121477411</v>
      </c>
      <c r="E9" s="19" t="n">
        <f aca="false">SUM(B9:D9)</f>
        <v>276432.636705623</v>
      </c>
      <c r="F9" s="13" t="n">
        <f aca="false">E9/$E$10</f>
        <v>0.041522491349481</v>
      </c>
    </row>
    <row r="10" customFormat="false" ht="15" hidden="false" customHeight="false" outlineLevel="0" collapsed="false">
      <c r="A10" s="15" t="s">
        <v>97</v>
      </c>
      <c r="B10" s="20" t="n">
        <f aca="false">SUM('Monthly P&amp;L'!B12:M12)</f>
        <v>901206.901303413</v>
      </c>
      <c r="C10" s="20" t="n">
        <f aca="false">SUM('Monthly P&amp;L'!N12:Y12)</f>
        <v>2203604.75710937</v>
      </c>
      <c r="D10" s="20" t="n">
        <f aca="false">SUM('Monthly P&amp;L'!Z12:AK12)</f>
        <v>3552607.67558097</v>
      </c>
      <c r="E10" s="20" t="n">
        <f aca="false">SUM(B10:D10)</f>
        <v>6657419.33399375</v>
      </c>
    </row>
    <row r="11" customFormat="false" ht="15" hidden="false" customHeight="false" outlineLevel="0" collapsed="false">
      <c r="A11" s="5" t="s">
        <v>123</v>
      </c>
      <c r="B11" s="18" t="n">
        <f aca="false">SUM('Monthly P&amp;L'!B23:M23)</f>
        <v>-1394524.72918816</v>
      </c>
      <c r="C11" s="18" t="n">
        <f aca="false">SUM('Monthly P&amp;L'!N23:Y23)</f>
        <v>-1770203.54277605</v>
      </c>
      <c r="D11" s="18" t="n">
        <f aca="false">SUM('Monthly P&amp;L'!Z23:AK23)</f>
        <v>-2137865.17875849</v>
      </c>
      <c r="E11" s="19" t="n">
        <f aca="false">SUM(B11:D11)</f>
        <v>-5302593.45072269</v>
      </c>
    </row>
    <row r="12" customFormat="false" ht="15" hidden="false" customHeight="false" outlineLevel="0" collapsed="false">
      <c r="A12" s="15" t="s">
        <v>108</v>
      </c>
      <c r="B12" s="20" t="n">
        <f aca="false">SUM('Monthly P&amp;L'!B25:M25)</f>
        <v>-493317.827884742</v>
      </c>
      <c r="C12" s="20" t="n">
        <f aca="false">SUM('Monthly P&amp;L'!N25:Y25)</f>
        <v>433401.214333325</v>
      </c>
      <c r="D12" s="20" t="n">
        <f aca="false">SUM('Monthly P&amp;L'!Z25:AK25)</f>
        <v>1414742.49682248</v>
      </c>
      <c r="E12" s="20" t="n">
        <f aca="false">SUM(B12:D12)</f>
        <v>1354825.88327106</v>
      </c>
    </row>
    <row r="13" customFormat="false" ht="15" hidden="false" customHeight="false" outlineLevel="0" collapsed="false">
      <c r="A13" s="5" t="s">
        <v>124</v>
      </c>
      <c r="B13" s="13" t="n">
        <f aca="false">B12/B10</f>
        <v>-0.547396859890063</v>
      </c>
      <c r="C13" s="13" t="n">
        <f aca="false">C12/C10</f>
        <v>0.196678289486836</v>
      </c>
      <c r="D13" s="13" t="n">
        <f aca="false">D12/D10</f>
        <v>0.398226493329613</v>
      </c>
    </row>
    <row r="15" customFormat="false" ht="15" hidden="false" customHeight="false" outlineLevel="0" collapsed="false">
      <c r="A15" s="3" t="s">
        <v>125</v>
      </c>
    </row>
    <row r="16" customFormat="false" ht="15" hidden="false" customHeight="false" outlineLevel="0" collapsed="false">
      <c r="A16" s="5" t="s">
        <v>126</v>
      </c>
      <c r="B16" s="22" t="n">
        <f aca="false">'Member Build'!M10</f>
        <v>220</v>
      </c>
      <c r="C16" s="22" t="n">
        <f aca="false">'Member Build'!Y10</f>
        <v>420</v>
      </c>
      <c r="D16" s="22" t="n">
        <f aca="false">'Member Build'!AK10</f>
        <v>600</v>
      </c>
    </row>
    <row r="17" customFormat="false" ht="15" hidden="false" customHeight="false" outlineLevel="0" collapsed="false">
      <c r="A17" s="5" t="s">
        <v>127</v>
      </c>
      <c r="B17" s="11" t="n">
        <f aca="false">'Monthly P&amp;L'!M12/'Member Build'!M10</f>
        <v>578</v>
      </c>
      <c r="C17" s="11" t="n">
        <f aca="false">'Monthly P&amp;L'!Y12/'Member Build'!Y10</f>
        <v>578</v>
      </c>
      <c r="D17" s="11" t="n">
        <f aca="false">'Monthly P&amp;L'!AK12/'Member Build'!AK10</f>
        <v>578</v>
      </c>
    </row>
    <row r="19" customFormat="false" ht="15" hidden="false" customHeight="false" outlineLevel="0" collapsed="false">
      <c r="A19" s="3" t="s">
        <v>128</v>
      </c>
    </row>
    <row r="20" customFormat="false" ht="15" hidden="false" customHeight="false" outlineLevel="0" collapsed="false">
      <c r="A20" s="5" t="s">
        <v>129</v>
      </c>
      <c r="B20" s="18" t="n">
        <f aca="false">Assumptions!B41</f>
        <v>640000</v>
      </c>
    </row>
    <row r="21" customFormat="false" ht="15" hidden="false" customHeight="false" outlineLevel="0" collapsed="false">
      <c r="A21" s="5" t="s">
        <v>130</v>
      </c>
      <c r="B21" s="19" t="n">
        <f aca="false">-MIN('Monthly P&amp;L'!B26:AK26)</f>
        <v>1138958.03901994</v>
      </c>
    </row>
    <row r="22" customFormat="false" ht="15" hidden="false" customHeight="false" outlineLevel="0" collapsed="false">
      <c r="A22" s="15" t="s">
        <v>131</v>
      </c>
      <c r="B22" s="20" t="n">
        <f aca="false">B21</f>
        <v>1138958.03901994</v>
      </c>
    </row>
    <row r="23" customFormat="false" ht="15" hidden="false" customHeight="false" outlineLevel="0" collapsed="false">
      <c r="A23" s="5" t="s">
        <v>132</v>
      </c>
      <c r="B23" s="11" t="n">
        <f aca="false">MATCH(TRUE(),'Monthly P&amp;L'!B26:AK26&gt;0,0)</f>
        <v>32</v>
      </c>
      <c r="E23" s="2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2026-07-27T14:22:12Z</dcterms:created>
  <dc:creator>openpyxl</dc:creator>
  <dc:description/>
  <dc:language>en-US</dc:language>
  <cp:lastModifiedBy/>
  <dcterms:modified xsi:type="dcterms:W3CDTF">2026-07-27T14:24:35Z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