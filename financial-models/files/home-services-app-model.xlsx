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" sheetId="1" state="visible" r:id="rId3"/>
    <sheet name="Assumptions" sheetId="2" state="visible" r:id="rId4"/>
    <sheet name="Volume &amp; Funnel Build" sheetId="3" state="visible" r:id="rId5"/>
    <sheet name="Monthly P&amp;L" sheetId="4" state="visible" r:id="rId6"/>
    <sheet name="Annual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<sst xmlns="http://schemas.openxmlformats.org/spreadsheetml/2006/main" count="298" uniqueCount="261">
  <si>
    <t xml:space="preserve">HOME SERVICES APP — 3-YEAR FINANCIAL MODEL</t>
  </si>
  <si>
    <t xml:space="preserve">On-Demand Home Services App  ·  Qatar  ·  Base Case Build, 2026</t>
  </si>
  <si>
    <t xml:space="preserve">OVERVIEW</t>
  </si>
  <si>
    <t xml:space="preserve">Bottom-up 3-year financial model for the app in Qatar. Starts from the Qatar market funnel (TAM → SAM → Downloads → Active Customers) and builds through to a monthly P&amp;L and EBITDA. Yellow-highlighted cells are analyst estimates — adjust them to stress-test the model.</t>
  </si>
  <si>
    <t xml:space="preserve">NAVIGATE THE MODEL</t>
  </si>
  <si>
    <t xml:space="preserve">1  ·  Assumptions</t>
  </si>
  <si>
    <t xml:space="preserve">All inputs — Qatar market data, subscription pricing, funnel rates, growth targets, cost estimates. Yellow cells are analyst estimates; change these to run scenarios.</t>
  </si>
  <si>
    <t xml:space="preserve">2  ·  Volume &amp; Funnel Build</t>
  </si>
  <si>
    <t xml:space="preserve">Monthly drivers for 36 months — app downloads, active customers, in-house vs. marketplace job split, subscriber counts by tier.</t>
  </si>
  <si>
    <t xml:space="preserve">3  ·  Monthly P&amp;L</t>
  </si>
  <si>
    <t xml:space="preserve">Four revenue streams (in-house jobs, marketplace commission, booking fees, subscriptions), margins to EBITDA — monthly detail plus FY1–3 annual totals.</t>
  </si>
  <si>
    <t xml:space="preserve">4  ·  Annual Summary</t>
  </si>
  <si>
    <t xml:space="preserve">3-year P&amp;L rollup, revenue mix by stream, implied funding requirement, and graduation metrics vs. Phase 1 targets.</t>
  </si>
  <si>
    <t xml:space="preserve">COLOUR LEGEND</t>
  </si>
  <si>
    <t xml:space="preserve">Blue</t>
  </si>
  <si>
    <t xml:space="preserve">Given input — Qatar market data or app rate card</t>
  </si>
  <si>
    <t xml:space="preserve">Blue + yellow</t>
  </si>
  <si>
    <t xml:space="preserve">Analyst estimate — independently derived; adjust to stress-test</t>
  </si>
  <si>
    <t xml:space="preserve">Black</t>
  </si>
  <si>
    <t xml:space="preserve">Formula / calculation — do not overwrite</t>
  </si>
  <si>
    <t xml:space="preserve">Green</t>
  </si>
  <si>
    <t xml:space="preserve">Link pulling from another tab — do not overwrite</t>
  </si>
  <si>
    <t xml:space="preserve">HOME SERVICES APP — MODEL ASSUMPTIONS</t>
  </si>
  <si>
    <t xml:space="preserve">Blue = given (market data / app rate card).  Yellow = your estimate — change to stress-test.  Black = formula, do not edit.</t>
  </si>
  <si>
    <t xml:space="preserve">MARKET CONTEXT — QATAR</t>
  </si>
  <si>
    <t xml:space="preserve">Qatar Population (2026)</t>
  </si>
  <si>
    <t xml:space="preserve">Qatar resident population, 2026 estimate.</t>
  </si>
  <si>
    <t xml:space="preserve">Total Residential Units</t>
  </si>
  <si>
    <t xml:space="preserve">Estimated total residential housing stock, Qatar, 2026.</t>
  </si>
  <si>
    <t xml:space="preserve">Family Households — total universe</t>
  </si>
  <si>
    <t xml:space="preserve">Households vs. single-occupant/shared units, Qatar.</t>
  </si>
  <si>
    <t xml:space="preserve">Self-Managed Households (B2C target)</t>
  </si>
  <si>
    <t xml:space="preserve">Households managing their own maintenance — not via a building FM contract.</t>
  </si>
  <si>
    <t xml:space="preserve">App-Ready Household Rate (SAM % of Family HH)</t>
  </si>
  <si>
    <t xml:space="preserve">What share of family households will book via a mobile app rather than a personal contractor or WhatsApp referral?</t>
  </si>
  <si>
    <t xml:space="preserve">SAM — App-Ready Households</t>
  </si>
  <si>
    <t xml:space="preserve">Family Households × App-Ready Rate</t>
  </si>
  <si>
    <t xml:space="preserve">DOWNLOAD &amp; ACTIVATION FUNNEL</t>
  </si>
  <si>
    <t xml:space="preserve">Y1</t>
  </si>
  <si>
    <t xml:space="preserve">Y2</t>
  </si>
  <si>
    <t xml:space="preserve">Y3</t>
  </si>
  <si>
    <t xml:space="preserve">Cumulative App Downloads — Month 1 seed</t>
  </si>
  <si>
    <t xml:space="preserve">Controlled soft-launch cohort at Month 1, before wider marketing spend begins.</t>
  </si>
  <si>
    <t xml:space="preserve">What % of SAM do we want to acquire by year end?</t>
  </si>
  <si>
    <t xml:space="preserve">Target cumulative download penetration of SAM at end of each year.  [Y1 | Y2 | Y3]</t>
  </si>
  <si>
    <t xml:space="preserve">Implied download target (#) — derived</t>
  </si>
  <si>
    <t xml:space="preserve">SAM × target penetration rate.</t>
  </si>
  <si>
    <t xml:space="preserve">Implied monthly download growth rate — derived</t>
  </si>
  <si>
    <t xml:space="preserve">Monthly compounding rate needed to hit each year-end download target.  [Y1 | Y2 | Y3]</t>
  </si>
  <si>
    <t xml:space="preserve">Activation rate — downloads → active customers</t>
  </si>
  <si>
    <t xml:space="preserve">What cumulative % of app downloads place a booking?  [Y1 | Y2 | Y3]</t>
  </si>
  <si>
    <t xml:space="preserve">Avg monthly bookings per active customer</t>
  </si>
  <si>
    <t xml:space="preserve">How often does an active customer re-book per month? (~1 job every 3–4 months)</t>
  </si>
  <si>
    <t xml:space="preserve">In-house job share vs third-party</t>
  </si>
  <si>
    <t xml:space="preserve">What % of total jobs go to our in-house team? Phase 1: in-house first. Phase 3: even split.  [Y1 | Y2 | Y3]</t>
  </si>
  <si>
    <t xml:space="preserve">SUBSCRIBER GROWTH — CONVERSION-RATE DRIVEN</t>
  </si>
  <si>
    <t xml:space="preserve">Cleaning subs — Month 1 seed</t>
  </si>
  <si>
    <t xml:space="preserve">Early-adopter cohort at launch.</t>
  </si>
  <si>
    <t xml:space="preserve">What % of active customers convert to a cleaning sub?</t>
  </si>
  <si>
    <t xml:space="preserve">Natural upsell from a one-off booking. Conversion improves as brand trust matures.  [Y1 | Y2 | Y3]</t>
  </si>
  <si>
    <t xml:space="preserve">Cleaning subs — year-end target (#) — derived</t>
  </si>
  <si>
    <t xml:space="preserve">Active Customers (Dec) × Cleaning Conversion Rate.  [Y1 | Y2 | Y3]</t>
  </si>
  <si>
    <t xml:space="preserve">Implied monthly growth — cleaning subs — derived</t>
  </si>
  <si>
    <t xml:space="preserve">Monthly compounding growth to hit each year-end cleaning subscriber target.  [Y1 | Y2 | Y3]</t>
  </si>
  <si>
    <t xml:space="preserve">PM Plan subs — Month 1 seed</t>
  </si>
  <si>
    <t xml:space="preserve">What % of active customers convert to a PM plan?</t>
  </si>
  <si>
    <t xml:space="preserve">Higher-commitment annual product — lower attach rate than cleaning subs.  [Y1 | Y2 | Y3]</t>
  </si>
  <si>
    <t xml:space="preserve">PM Plan subs — year-end target (#) — derived</t>
  </si>
  <si>
    <t xml:space="preserve">Active Customers (Dec) × PM Plan Conversion Rate.  [Y1 | Y2 | Y3]</t>
  </si>
  <si>
    <t xml:space="preserve">Implied monthly growth — PM subs — derived</t>
  </si>
  <si>
    <t xml:space="preserve">Monthly compounding growth to hit each year-end PM subscriber target.  [Y1 | Y2 | Y3]</t>
  </si>
  <si>
    <t xml:space="preserve">PRICING &amp; UNIT ECONOMICS</t>
  </si>
  <si>
    <t xml:space="preserve">Blended average order value — AOV (QAR)</t>
  </si>
  <si>
    <t xml:space="preserve">What is the average job value we charge? Blended across AC, electrical, plumbing, pest control.</t>
  </si>
  <si>
    <t xml:space="preserve">Marketplace commission rate</t>
  </si>
  <si>
    <t xml:space="preserve">What % commission do we take from third-party techs?</t>
  </si>
  <si>
    <t xml:space="preserve">Booking fee per booking (QAR)</t>
  </si>
  <si>
    <t xml:space="preserve">(optional) Small platform convenience fee charged on every booking.</t>
  </si>
  <si>
    <t xml:space="preserve">Emergency premium multiplier</t>
  </si>
  <si>
    <t xml:space="preserve">(optional) Same-day / after-hours jobs charged at this multiple of the standard price.</t>
  </si>
  <si>
    <t xml:space="preserve">Emergency jobs as % of total jobs</t>
  </si>
  <si>
    <t xml:space="preserve">(optional) What % of total jobs are urgent / same-day emergency requests?</t>
  </si>
  <si>
    <t xml:space="preserve">In-house job margin</t>
  </si>
  <si>
    <t xml:space="preserve">What margin do we make on in-house jobs? After tech wages and materials.</t>
  </si>
  <si>
    <t xml:space="preserve">Marketplace commission margin</t>
  </si>
  <si>
    <t xml:space="preserve">Near-zero delivery cost — the third-party tech bears the job cost.</t>
  </si>
  <si>
    <t xml:space="preserve">Booking fee margin</t>
  </si>
  <si>
    <t xml:space="preserve">Pure platform fee, no direct cost.</t>
  </si>
  <si>
    <t xml:space="preserve">Emergency premium margin</t>
  </si>
  <si>
    <t xml:space="preserve">Assumed equal to in-house job margin — emergency jobs go to the in-house team first.</t>
  </si>
  <si>
    <t xml:space="preserve">Cleaning subscription margin</t>
  </si>
  <si>
    <t xml:space="preserve">What margin do we make on cleaning subs? After staff labour and consumables.</t>
  </si>
  <si>
    <t xml:space="preserve">PM Plan margin</t>
  </si>
  <si>
    <t xml:space="preserve">What margin do we make on PM plan subs? After scheduled visit labour and parts.</t>
  </si>
  <si>
    <t xml:space="preserve">SUBSCRIPTION PRICING &amp; TIER MIX</t>
  </si>
  <si>
    <t xml:space="preserve">Cleaning — Basic price (QAR/mo)</t>
  </si>
  <si>
    <t xml:space="preserve">App rate card — ~4 cleaning sessions/month.</t>
  </si>
  <si>
    <t xml:space="preserve">Cleaning — Essential price (QAR/mo)</t>
  </si>
  <si>
    <t xml:space="preserve">App rate card — ~8 cleaning sessions/month.</t>
  </si>
  <si>
    <t xml:space="preserve">Cleaning — Premium price (QAR/mo)</t>
  </si>
  <si>
    <t xml:space="preserve">App rate card — ~12 cleaning sessions/month.</t>
  </si>
  <si>
    <t xml:space="preserve">Cleaning — Basic tier mix %</t>
  </si>
  <si>
    <t xml:space="preserve">What % of cleaning subscribers choose Basic? Most subscribers start at the entry tier.</t>
  </si>
  <si>
    <t xml:space="preserve">Cleaning — Essential tier mix %</t>
  </si>
  <si>
    <t xml:space="preserve">Cleaning — Premium tier mix %</t>
  </si>
  <si>
    <t xml:space="preserve">Premium (3×/week) appeals to a smaller, higher-income slice.</t>
  </si>
  <si>
    <t xml:space="preserve">PM Plan — Bronze price (QAR/mo)</t>
  </si>
  <si>
    <t xml:space="preserve">Entry AMC tier — one annual AC + electrical + plumbing check-up.</t>
  </si>
  <si>
    <t xml:space="preserve">PM Plan — Silver price (QAR/mo)</t>
  </si>
  <si>
    <t xml:space="preserve">Mid tier — adds a mid-year visit and minor-parts discount.</t>
  </si>
  <si>
    <t xml:space="preserve">PM Plan — Gold price (QAR/mo)</t>
  </si>
  <si>
    <t xml:space="preserve">Premium tier — quarterly visits plus priority same-day response.</t>
  </si>
  <si>
    <t xml:space="preserve">PM Plan — Bronze tier mix %</t>
  </si>
  <si>
    <t xml:space="preserve">Entry tier captures the majority of AMC sign-ups.</t>
  </si>
  <si>
    <t xml:space="preserve">PM Plan — Silver tier mix %</t>
  </si>
  <si>
    <t xml:space="preserve">PM Plan — Gold tier mix %</t>
  </si>
  <si>
    <t xml:space="preserve">Monthly subscriber churn rate</t>
  </si>
  <si>
    <t xml:space="preserve">What % of subscribers cancel each month? (~4%/month ≈ 38% annual churn)</t>
  </si>
  <si>
    <t xml:space="preserve">OPERATING COST ASSUMPTIONS</t>
  </si>
  <si>
    <t xml:space="preserve">Marketing cost per new app download — CPI (QAR)</t>
  </si>
  <si>
    <t xml:space="preserve">How much do we spend to acquire each new download? Marketing Opex = net new downloads × CPI.</t>
  </si>
  <si>
    <t xml:space="preserve">Staff costs — annual (QAR)</t>
  </si>
  <si>
    <t xml:space="preserve">In-house tech team, call centre, team leaders, management allocation. Replace with HR actuals.  [Y1 | Y2 | Y3]</t>
  </si>
  <si>
    <t xml:space="preserve">Platform &amp; tech costs — annual (QAR)</t>
  </si>
  <si>
    <t xml:space="preserve">App hosting, maintenance, third-party integrations.  [Y1 | Y2 | Y3]</t>
  </si>
  <si>
    <t xml:space="preserve">Admin &amp; G&amp;A — annual (QAR)</t>
  </si>
  <si>
    <t xml:space="preserve">Office, legal/compliance, insurance, admin overhead.  [Y1 | Y2 | Y3]</t>
  </si>
  <si>
    <t xml:space="preserve">ONE-TIME CAPEX</t>
  </si>
  <si>
    <t xml:space="preserve">App finalisation &amp; QA</t>
  </si>
  <si>
    <t xml:space="preserve">Call centre / tech systems setup</t>
  </si>
  <si>
    <t xml:space="preserve">In-house tech tooling &amp; equipment</t>
  </si>
  <si>
    <t xml:space="preserve">Pre-launch marketing campaign</t>
  </si>
  <si>
    <t xml:space="preserve">Office / warehouse setup</t>
  </si>
  <si>
    <t xml:space="preserve">Total One-Time Capex</t>
  </si>
  <si>
    <t xml:space="preserve">VOLUME &amp; FUNNEL BUILD</t>
  </si>
  <si>
    <t xml:space="preserve">TAM 399,542 units → 220,000 family households → SAM (Assumptions) → App Downloads (ramped) → Active Customers → Jobs/month → Subscribers. All figures in units (#) unless noted.</t>
  </si>
  <si>
    <t xml:space="preserve">YEAR 1  (2026)</t>
  </si>
  <si>
    <t xml:space="preserve">YEAR 2  (2027)</t>
  </si>
  <si>
    <t xml:space="preserve">YEAR 3  (2028)</t>
  </si>
  <si>
    <t xml:space="preserve">FY1</t>
  </si>
  <si>
    <t xml:space="preserve">FY2</t>
  </si>
  <si>
    <t xml:space="preserve">FY3</t>
  </si>
  <si>
    <t xml:space="preserve">FY1 Total</t>
  </si>
  <si>
    <t xml:space="preserve">FY2 Total</t>
  </si>
  <si>
    <t xml:space="preserve">FY3 Total</t>
  </si>
  <si>
    <t xml:space="preserve">Cumulative App Downloads (#)</t>
  </si>
  <si>
    <t xml:space="preserve">Net New Downloads (#)</t>
  </si>
  <si>
    <t xml:space="preserve">Market Penetration - Downloads(% of SAM)</t>
  </si>
  <si>
    <t xml:space="preserve">Active Customers (#)</t>
  </si>
  <si>
    <t xml:space="preserve">Total Jobs / Month (#)</t>
  </si>
  <si>
    <t xml:space="preserve">  In-House Jobs (#)</t>
  </si>
  <si>
    <t xml:space="preserve">  Third-Party Jobs (#)</t>
  </si>
  <si>
    <t xml:space="preserve">Cleaning Subscribers — Total (#)</t>
  </si>
  <si>
    <t xml:space="preserve">  Gross New Cleaning Subs (churn-adj.) (#)</t>
  </si>
  <si>
    <t xml:space="preserve">  Cleaning — Basic (#)</t>
  </si>
  <si>
    <t xml:space="preserve">  Cleaning — Essential (#)</t>
  </si>
  <si>
    <t xml:space="preserve">  Cleaning — Premium (#)</t>
  </si>
  <si>
    <t xml:space="preserve">PM Plan Subscribers — Total (#)</t>
  </si>
  <si>
    <t xml:space="preserve">  Gross New PM Subs (churn-adj.) (#)</t>
  </si>
  <si>
    <t xml:space="preserve">  PM Plan — Bronze (#)</t>
  </si>
  <si>
    <t xml:space="preserve">  PM Plan — Silver (#)</t>
  </si>
  <si>
    <t xml:space="preserve">  PM Plan — Gold (#)</t>
  </si>
  <si>
    <t xml:space="preserve">Note: FY columns show Dec value for stocks/ratios (Downloads, Penetration, Active Customers, Subscriber counts) and SUM for flows (Net New, Jobs, Gross Adds).</t>
  </si>
  <si>
    <t xml:space="preserve">MONTHLY P&amp;L — THROUGH EBITDA</t>
  </si>
  <si>
    <t xml:space="preserve">All figures QAR. Costs shown as negative. Driven by Volume &amp; Funnel Build and Assumptions.</t>
  </si>
  <si>
    <t xml:space="preserve">Year 1</t>
  </si>
  <si>
    <t xml:space="preserve">Year 2</t>
  </si>
  <si>
    <t xml:space="preserve">Year 3</t>
  </si>
  <si>
    <t xml:space="preserve">Y1M1</t>
  </si>
  <si>
    <t xml:space="preserve">Y1M2</t>
  </si>
  <si>
    <t xml:space="preserve">Y1M3</t>
  </si>
  <si>
    <t xml:space="preserve">Y1M4</t>
  </si>
  <si>
    <t xml:space="preserve">Y1M5</t>
  </si>
  <si>
    <t xml:space="preserve">Y1M6</t>
  </si>
  <si>
    <t xml:space="preserve">Y1M7</t>
  </si>
  <si>
    <t xml:space="preserve">Y1M8</t>
  </si>
  <si>
    <t xml:space="preserve">Y1M9</t>
  </si>
  <si>
    <t xml:space="preserve">Y1M10</t>
  </si>
  <si>
    <t xml:space="preserve">Y1M11</t>
  </si>
  <si>
    <t xml:space="preserve">Y1M12</t>
  </si>
  <si>
    <t xml:space="preserve">Y2M1</t>
  </si>
  <si>
    <t xml:space="preserve">Y2M2</t>
  </si>
  <si>
    <t xml:space="preserve">Y2M3</t>
  </si>
  <si>
    <t xml:space="preserve">Y2M4</t>
  </si>
  <si>
    <t xml:space="preserve">Y2M5</t>
  </si>
  <si>
    <t xml:space="preserve">Y2M6</t>
  </si>
  <si>
    <t xml:space="preserve">Y2M7</t>
  </si>
  <si>
    <t xml:space="preserve">Y2M8</t>
  </si>
  <si>
    <t xml:space="preserve">Y2M9</t>
  </si>
  <si>
    <t xml:space="preserve">Y2M10</t>
  </si>
  <si>
    <t xml:space="preserve">Y2M11</t>
  </si>
  <si>
    <t xml:space="preserve">Y2M12</t>
  </si>
  <si>
    <t xml:space="preserve">Y3M1</t>
  </si>
  <si>
    <t xml:space="preserve">Y3M2</t>
  </si>
  <si>
    <t xml:space="preserve">Y3M3</t>
  </si>
  <si>
    <t xml:space="preserve">Y3M4</t>
  </si>
  <si>
    <t xml:space="preserve">Y3M5</t>
  </si>
  <si>
    <t xml:space="preserve">Y3M6</t>
  </si>
  <si>
    <t xml:space="preserve">Y3M7</t>
  </si>
  <si>
    <t xml:space="preserve">Y3M8</t>
  </si>
  <si>
    <t xml:space="preserve">Y3M9</t>
  </si>
  <si>
    <t xml:space="preserve">Y3M10</t>
  </si>
  <si>
    <t xml:space="preserve">Y3M11</t>
  </si>
  <si>
    <t xml:space="preserve">Y3M12</t>
  </si>
  <si>
    <t xml:space="preserve">REVENUE</t>
  </si>
  <si>
    <t xml:space="preserve">In-House Job Revenue</t>
  </si>
  <si>
    <t xml:space="preserve">Marketplace Commission Revenue</t>
  </si>
  <si>
    <t xml:space="preserve">Booking Fee Revenue</t>
  </si>
  <si>
    <t xml:space="preserve">Emergency Premium Revenue</t>
  </si>
  <si>
    <t xml:space="preserve">Cleaning Subscription Revenue</t>
  </si>
  <si>
    <t xml:space="preserve">PM Plan Subscription Revenue</t>
  </si>
  <si>
    <t xml:space="preserve">TOTAL REVENUE</t>
  </si>
  <si>
    <t xml:space="preserve">COST OF REVENUE</t>
  </si>
  <si>
    <t xml:space="preserve">In-House Job COGS</t>
  </si>
  <si>
    <t xml:space="preserve">Marketplace Commission COGS</t>
  </si>
  <si>
    <t xml:space="preserve">Booking Fee COGS</t>
  </si>
  <si>
    <t xml:space="preserve">Emergency Premium COGS</t>
  </si>
  <si>
    <t xml:space="preserve">Cleaning Subscription COGS</t>
  </si>
  <si>
    <t xml:space="preserve">PM Plan COGS</t>
  </si>
  <si>
    <t xml:space="preserve">TOTAL COST OF REVENUE</t>
  </si>
  <si>
    <t xml:space="preserve">GROSS PROFIT</t>
  </si>
  <si>
    <t xml:space="preserve">Gross Margin %</t>
  </si>
  <si>
    <t xml:space="preserve">OPERATING EXPENSES</t>
  </si>
  <si>
    <t xml:space="preserve">Staff Costs</t>
  </si>
  <si>
    <t xml:space="preserve">Marketing &amp; User Acquisition</t>
  </si>
  <si>
    <t xml:space="preserve">Platform &amp; Tech</t>
  </si>
  <si>
    <t xml:space="preserve">Admin &amp; G&amp;A</t>
  </si>
  <si>
    <t xml:space="preserve">TOTAL OPERATING EXPENSES</t>
  </si>
  <si>
    <t xml:space="preserve">EBITDA</t>
  </si>
  <si>
    <t xml:space="preserve">EBITDA Margin %</t>
  </si>
  <si>
    <t xml:space="preserve">Cumulative EBITDA</t>
  </si>
  <si>
    <t xml:space="preserve">Monthly EBITDA Positive? (1/0)</t>
  </si>
  <si>
    <t xml:space="preserve">Cumulative EBITDA Positive? (1/0)</t>
  </si>
  <si>
    <t xml:space="preserve">ANNUAL SUMMARY</t>
  </si>
  <si>
    <t xml:space="preserve">3-year P&amp;L, revenue mix, graduation metrics and funding requirement — all figures QAR unless noted.</t>
  </si>
  <si>
    <t xml:space="preserve">3-YEAR REVENUE (QAR)</t>
  </si>
  <si>
    <t xml:space="preserve">3-YEAR EBITDA (QAR)</t>
  </si>
  <si>
    <t xml:space="preserve">CUMULATIVE BREAKEVEN MONTH</t>
  </si>
  <si>
    <t xml:space="preserve">IMPLIED FUNDING REQUIRED (QAR)</t>
  </si>
  <si>
    <t xml:space="preserve">3-YEAR P&amp;L SUMMARY</t>
  </si>
  <si>
    <t xml:space="preserve">FY1 (2026)</t>
  </si>
  <si>
    <t xml:space="preserve">FY2 (2027)</t>
  </si>
  <si>
    <t xml:space="preserve">FY3 (2028)</t>
  </si>
  <si>
    <t xml:space="preserve">3-Yr Total</t>
  </si>
  <si>
    <t xml:space="preserve">Revenue</t>
  </si>
  <si>
    <t xml:space="preserve">Cost of Revenue</t>
  </si>
  <si>
    <t xml:space="preserve">Gross Profit</t>
  </si>
  <si>
    <t xml:space="preserve">  Gross Margin %</t>
  </si>
  <si>
    <t xml:space="preserve">Operating Expenses</t>
  </si>
  <si>
    <t xml:space="preserve">  EBITDA Margin %</t>
  </si>
  <si>
    <t xml:space="preserve">REVENUE MIX BY STREAM  (% of Total Revenue)</t>
  </si>
  <si>
    <t xml:space="preserve">GRADUATION METRICS  (Dec value, end of year)</t>
  </si>
  <si>
    <t xml:space="preserve">Download Penetration (% of SAM)</t>
  </si>
  <si>
    <t xml:space="preserve">Jobs / Month (Dec run-rate)</t>
  </si>
  <si>
    <t xml:space="preserve">Cleaning Subscribers (#)</t>
  </si>
  <si>
    <t xml:space="preserve">PM Plan Subscribers (#)</t>
  </si>
  <si>
    <t xml:space="preserve">FUNDING REQUIREMENT</t>
  </si>
  <si>
    <t xml:space="preserve">One-Time Capex (Assumptions)</t>
  </si>
  <si>
    <t xml:space="preserve">Peak Cumulative Cash Shortfall (pre-Capex)</t>
  </si>
  <si>
    <t xml:space="preserve">Implied Funding Required</t>
  </si>
  <si>
    <t xml:space="preserve">Funding required = one-time Capex + the largest cumulative EBITDA deficit before the business turns cumulative-cash-positive (Cumulative EBITDA, Monthly P&amp;L row 37).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</si>
</sst>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%"/>
    <numFmt numFmtId="167" formatCode="General"/>
    <numFmt numFmtId="168" formatCode="0.0%"/>
    <numFmt numFmtId="169" formatCode="0.00;\(0.00\);\-"/>
    <numFmt numFmtId="170" formatCode="d\-mmm"/>
    <numFmt numFmtId="171" formatCode="0.0%;\(0.0%\);\-"/>
    <numFmt numFmtId="172" formatCode="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3"/>
      <name val="Calibri"/>
      <family val="0"/>
      <charset val="1"/>
    </font>
    <font>
      <sz val="11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1"/>
      <color theme="0"/>
      <name val="Calibri"/>
      <family val="2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595959"/>
      <name val="Calibri"/>
      <family val="2"/>
      <charset val="1"/>
    </font>
    <font>
      <b val="true"/>
      <sz val="11"/>
      <name val="Calibri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1F4E78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D9E1F2"/>
      </patternFill>
    </fill>
    <fill>
      <patternFill patternType="solid">
        <fgColor rgb="FF1F4E78"/>
        <bgColor rgb="FF1F4E79"/>
      </patternFill>
    </fill>
    <fill>
      <patternFill patternType="solid">
        <fgColor rgb="FFD9E1F2"/>
        <bgColor rgb="FFDCE6F1"/>
      </patternFill>
    </fill>
    <fill>
      <patternFill patternType="solid">
        <fgColor rgb="FF44546A"/>
        <bgColor rgb="FF595959"/>
      </patternFill>
    </fill>
    <fill>
      <patternFill patternType="solid">
        <fgColor rgb="FFF2F2F2"/>
        <bgColor rgb="FFEDF2F9"/>
      </patternFill>
    </fill>
    <fill>
      <patternFill patternType="solid">
        <fgColor rgb="FFEDF2F9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1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DF2F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9.09"/>
    <col collapsed="false" customWidth="true" hidden="false" outlineLevel="0" max="3" min="3" style="1" width="61.82"/>
  </cols>
  <sheetData>
    <row r="2" customFormat="false" ht="22.5" hidden="false" customHeight="true" outlineLevel="0" collapsed="false">
      <c r="B2" s="2" t="s">
        <v>0</v>
      </c>
    </row>
    <row r="3" customFormat="false" ht="14.25" hidden="false" customHeight="false" outlineLevel="0" collapsed="false">
      <c r="B3" s="3" t="s">
        <v>1</v>
      </c>
    </row>
    <row r="5" customFormat="false" ht="14.25" hidden="false" customHeight="false" outlineLevel="0" collapsed="false">
      <c r="B5" s="4" t="s">
        <v>2</v>
      </c>
    </row>
    <row r="6" customFormat="false" ht="35.05" hidden="false" customHeight="true" outlineLevel="0" collapsed="false">
      <c r="B6" s="5" t="s">
        <v>3</v>
      </c>
      <c r="C6" s="5"/>
    </row>
    <row r="8" customFormat="false" ht="14.25" hidden="false" customHeight="false" outlineLevel="0" collapsed="false">
      <c r="B8" s="4" t="s">
        <v>4</v>
      </c>
    </row>
    <row r="9" customFormat="false" ht="38.25" hidden="false" customHeight="true" outlineLevel="0" collapsed="false">
      <c r="B9" s="4" t="s">
        <v>5</v>
      </c>
      <c r="C9" s="6" t="s">
        <v>6</v>
      </c>
    </row>
    <row r="10" customFormat="false" ht="25.5" hidden="false" customHeight="true" outlineLevel="0" collapsed="false">
      <c r="B10" s="4" t="s">
        <v>7</v>
      </c>
      <c r="C10" s="6" t="s">
        <v>8</v>
      </c>
    </row>
    <row r="11" customFormat="false" ht="38.25" hidden="false" customHeight="true" outlineLevel="0" collapsed="false">
      <c r="B11" s="4" t="s">
        <v>9</v>
      </c>
      <c r="C11" s="6" t="s">
        <v>10</v>
      </c>
    </row>
    <row r="12" customFormat="false" ht="25.5" hidden="false" customHeight="true" outlineLevel="0" collapsed="false">
      <c r="B12" s="4" t="s">
        <v>11</v>
      </c>
      <c r="C12" s="6" t="s">
        <v>12</v>
      </c>
    </row>
    <row r="14" customFormat="false" ht="14.25" hidden="false" customHeight="false" outlineLevel="0" collapsed="false">
      <c r="B14" s="4" t="s">
        <v>13</v>
      </c>
    </row>
    <row r="15" customFormat="false" ht="14.25" hidden="false" customHeight="false" outlineLevel="0" collapsed="false">
      <c r="B15" s="7" t="s">
        <v>14</v>
      </c>
      <c r="C15" s="6" t="s">
        <v>15</v>
      </c>
    </row>
    <row r="16" customFormat="false" ht="14.25" hidden="false" customHeight="false" outlineLevel="0" collapsed="false">
      <c r="B16" s="8" t="s">
        <v>16</v>
      </c>
      <c r="C16" s="6" t="s">
        <v>17</v>
      </c>
    </row>
    <row r="17" customFormat="false" ht="14.25" hidden="false" customHeight="false" outlineLevel="0" collapsed="false">
      <c r="B17" s="9" t="s">
        <v>18</v>
      </c>
      <c r="C17" s="6" t="s">
        <v>19</v>
      </c>
    </row>
    <row r="18" customFormat="false" ht="14.25" hidden="false" customHeight="false" outlineLevel="0" collapsed="false">
      <c r="B18" s="10" t="s">
        <v>20</v>
      </c>
      <c r="C18" s="6" t="s">
        <v>21</v>
      </c>
    </row>
    <row r="24" customFormat="false" ht="87" hidden="false" customHeight="true" outlineLevel="0" collapsed="false"/>
  </sheetData>
  <mergeCells count="1">
    <mergeCell ref="B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fals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D68" activeCellId="0" sqref="D68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49"/>
    <col collapsed="false" customWidth="true" hidden="false" outlineLevel="0" max="4" min="2" style="0" width="14"/>
    <col collapsed="false" customWidth="true" hidden="false" outlineLevel="0" max="5" min="5" style="0" width="93.36"/>
  </cols>
  <sheetData>
    <row r="1" customFormat="false" ht="16.5" hidden="false" customHeight="true" outlineLevel="0" collapsed="false">
      <c r="A1" s="11" t="s">
        <v>22</v>
      </c>
      <c r="C1" s="12"/>
      <c r="D1" s="12"/>
      <c r="E1" s="12"/>
    </row>
    <row r="2" customFormat="false" ht="14.25" hidden="false" customHeight="false" outlineLevel="0" collapsed="false">
      <c r="A2" s="13" t="s">
        <v>23</v>
      </c>
      <c r="C2" s="12"/>
      <c r="D2" s="12"/>
      <c r="E2" s="12"/>
    </row>
    <row r="3" customFormat="false" ht="14.25" hidden="false" customHeight="false" outlineLevel="0" collapsed="false">
      <c r="C3" s="12"/>
      <c r="D3" s="12"/>
      <c r="E3" s="12"/>
    </row>
    <row r="4" customFormat="false" ht="14.25" hidden="false" customHeight="false" outlineLevel="0" collapsed="false">
      <c r="A4" s="14" t="s">
        <v>24</v>
      </c>
      <c r="B4" s="15"/>
      <c r="C4" s="15"/>
      <c r="D4" s="15"/>
      <c r="E4" s="12"/>
    </row>
    <row r="5" customFormat="false" ht="14.25" hidden="false" customHeight="false" outlineLevel="0" collapsed="false">
      <c r="A5" s="16" t="s">
        <v>25</v>
      </c>
      <c r="B5" s="17" t="n">
        <v>3170000</v>
      </c>
      <c r="C5" s="17"/>
      <c r="D5" s="17"/>
      <c r="E5" s="18" t="s">
        <v>26</v>
      </c>
    </row>
    <row r="6" customFormat="false" ht="14.25" hidden="false" customHeight="false" outlineLevel="0" collapsed="false">
      <c r="A6" s="16" t="s">
        <v>27</v>
      </c>
      <c r="B6" s="17" t="n">
        <v>399542</v>
      </c>
      <c r="C6" s="17"/>
      <c r="D6" s="17"/>
      <c r="E6" s="18" t="s">
        <v>28</v>
      </c>
    </row>
    <row r="7" customFormat="false" ht="14.25" hidden="false" customHeight="false" outlineLevel="0" collapsed="false">
      <c r="A7" s="16" t="s">
        <v>29</v>
      </c>
      <c r="B7" s="17" t="n">
        <v>220000</v>
      </c>
      <c r="C7" s="17"/>
      <c r="D7" s="17"/>
      <c r="E7" s="18" t="s">
        <v>30</v>
      </c>
    </row>
    <row r="8" customFormat="false" ht="14.25" hidden="false" customHeight="false" outlineLevel="0" collapsed="false">
      <c r="A8" s="16" t="s">
        <v>31</v>
      </c>
      <c r="B8" s="17" t="n">
        <v>165000</v>
      </c>
      <c r="C8" s="17"/>
      <c r="D8" s="17"/>
      <c r="E8" s="18" t="s">
        <v>32</v>
      </c>
    </row>
    <row r="9" customFormat="false" ht="14.25" hidden="false" customHeight="false" outlineLevel="0" collapsed="false">
      <c r="A9" s="16" t="s">
        <v>33</v>
      </c>
      <c r="B9" s="19" t="n">
        <v>0.35</v>
      </c>
      <c r="C9" s="19"/>
      <c r="D9" s="19"/>
      <c r="E9" s="18" t="s">
        <v>34</v>
      </c>
    </row>
    <row r="10" customFormat="false" ht="14.25" hidden="false" customHeight="false" outlineLevel="0" collapsed="false">
      <c r="A10" s="16" t="s">
        <v>35</v>
      </c>
      <c r="B10" s="20" t="n">
        <f aca="false">B7*B9</f>
        <v>77000</v>
      </c>
      <c r="C10" s="20"/>
      <c r="D10" s="20"/>
      <c r="E10" s="18" t="s">
        <v>36</v>
      </c>
    </row>
    <row r="11" customFormat="false" ht="14.25" hidden="false" customHeight="false" outlineLevel="0" collapsed="false">
      <c r="C11" s="12"/>
      <c r="D11" s="12"/>
      <c r="E11" s="12"/>
    </row>
    <row r="12" customFormat="false" ht="14.25" hidden="false" customHeight="false" outlineLevel="0" collapsed="false">
      <c r="A12" s="14" t="s">
        <v>37</v>
      </c>
      <c r="B12" s="15" t="s">
        <v>38</v>
      </c>
      <c r="C12" s="15" t="s">
        <v>39</v>
      </c>
      <c r="D12" s="15" t="s">
        <v>40</v>
      </c>
      <c r="E12" s="12"/>
    </row>
    <row r="13" customFormat="false" ht="14.25" hidden="false" customHeight="false" outlineLevel="0" collapsed="false">
      <c r="A13" s="16" t="s">
        <v>41</v>
      </c>
      <c r="B13" s="21" t="n">
        <v>500</v>
      </c>
      <c r="C13" s="21"/>
      <c r="D13" s="21"/>
      <c r="E13" s="18" t="s">
        <v>42</v>
      </c>
    </row>
    <row r="14" customFormat="false" ht="14.25" hidden="false" customHeight="false" outlineLevel="0" collapsed="false">
      <c r="A14" s="16" t="s">
        <v>43</v>
      </c>
      <c r="B14" s="22" t="n">
        <v>0.01</v>
      </c>
      <c r="C14" s="22" t="n">
        <v>0.18</v>
      </c>
      <c r="D14" s="22" t="n">
        <v>0.3</v>
      </c>
      <c r="E14" s="18" t="s">
        <v>44</v>
      </c>
    </row>
    <row r="15" customFormat="false" ht="14.25" hidden="false" customHeight="false" outlineLevel="0" collapsed="false">
      <c r="A15" s="16" t="s">
        <v>45</v>
      </c>
      <c r="B15" s="23" t="n">
        <f aca="false">B10*B14</f>
        <v>770</v>
      </c>
      <c r="C15" s="24" t="n">
        <f aca="false">B10*C14</f>
        <v>13860</v>
      </c>
      <c r="D15" s="24" t="n">
        <f aca="false">B10*D14</f>
        <v>23100</v>
      </c>
      <c r="E15" s="18" t="s">
        <v>46</v>
      </c>
    </row>
    <row r="16" customFormat="false" ht="14.25" hidden="false" customHeight="false" outlineLevel="0" collapsed="false">
      <c r="C16" s="12"/>
      <c r="D16" s="12"/>
      <c r="E16" s="12"/>
    </row>
    <row r="17" customFormat="false" ht="14.25" hidden="false" customHeight="false" outlineLevel="0" collapsed="false">
      <c r="A17" s="16" t="s">
        <v>47</v>
      </c>
      <c r="B17" s="25" t="n">
        <f aca="false">(B15/B13)^(1/11)-1</f>
        <v>0.0400335236865697</v>
      </c>
      <c r="C17" s="26" t="n">
        <f aca="false">(C15/B15)^(1/11)-1</f>
        <v>0.300515948120289</v>
      </c>
      <c r="D17" s="26" t="n">
        <f aca="false">(D15/C15)^(1/11)-1</f>
        <v>0.0475338560147296</v>
      </c>
      <c r="E17" s="18" t="s">
        <v>48</v>
      </c>
    </row>
    <row r="18" customFormat="false" ht="14.25" hidden="false" customHeight="false" outlineLevel="0" collapsed="false">
      <c r="C18" s="12"/>
      <c r="D18" s="12"/>
      <c r="E18" s="12"/>
    </row>
    <row r="19" customFormat="false" ht="14.25" hidden="false" customHeight="false" outlineLevel="0" collapsed="false">
      <c r="A19" s="16" t="s">
        <v>49</v>
      </c>
      <c r="B19" s="22" t="n">
        <v>0.15</v>
      </c>
      <c r="C19" s="22" t="n">
        <v>0.18</v>
      </c>
      <c r="D19" s="22" t="n">
        <v>0.2</v>
      </c>
      <c r="E19" s="18" t="s">
        <v>50</v>
      </c>
    </row>
    <row r="20" customFormat="false" ht="14.25" hidden="false" customHeight="false" outlineLevel="0" collapsed="false">
      <c r="A20" s="16" t="s">
        <v>51</v>
      </c>
      <c r="B20" s="27" t="n">
        <v>0.27</v>
      </c>
      <c r="C20" s="27"/>
      <c r="D20" s="27"/>
      <c r="E20" s="18" t="s">
        <v>52</v>
      </c>
    </row>
    <row r="21" customFormat="false" ht="14.25" hidden="false" customHeight="false" outlineLevel="0" collapsed="false">
      <c r="A21" s="16" t="s">
        <v>53</v>
      </c>
      <c r="B21" s="22" t="n">
        <v>0.75</v>
      </c>
      <c r="C21" s="22" t="n">
        <v>0.6</v>
      </c>
      <c r="D21" s="22" t="n">
        <v>0.5</v>
      </c>
      <c r="E21" s="18" t="s">
        <v>54</v>
      </c>
    </row>
    <row r="22" customFormat="false" ht="14.25" hidden="false" customHeight="false" outlineLevel="0" collapsed="false">
      <c r="C22" s="12"/>
      <c r="D22" s="12"/>
      <c r="E22" s="12"/>
    </row>
    <row r="23" customFormat="false" ht="14.25" hidden="false" customHeight="false" outlineLevel="0" collapsed="false">
      <c r="A23" s="14" t="s">
        <v>55</v>
      </c>
      <c r="B23" s="15" t="s">
        <v>38</v>
      </c>
      <c r="C23" s="15" t="s">
        <v>39</v>
      </c>
      <c r="D23" s="15" t="s">
        <v>40</v>
      </c>
      <c r="E23" s="12"/>
    </row>
    <row r="24" customFormat="false" ht="14.25" hidden="false" customHeight="false" outlineLevel="0" collapsed="false">
      <c r="A24" s="16" t="s">
        <v>56</v>
      </c>
      <c r="B24" s="21" t="n">
        <v>5</v>
      </c>
      <c r="C24" s="21"/>
      <c r="D24" s="21"/>
      <c r="E24" s="18" t="s">
        <v>57</v>
      </c>
    </row>
    <row r="25" customFormat="false" ht="14.25" hidden="false" customHeight="false" outlineLevel="0" collapsed="false">
      <c r="A25" s="16" t="s">
        <v>58</v>
      </c>
      <c r="B25" s="22" t="n">
        <v>0.1</v>
      </c>
      <c r="C25" s="22" t="n">
        <v>0.12</v>
      </c>
      <c r="D25" s="22" t="n">
        <v>0.13</v>
      </c>
      <c r="E25" s="18" t="s">
        <v>59</v>
      </c>
    </row>
    <row r="26" customFormat="false" ht="14.25" hidden="false" customHeight="false" outlineLevel="0" collapsed="false">
      <c r="A26" s="16" t="s">
        <v>60</v>
      </c>
      <c r="B26" s="23" t="n">
        <f aca="false">'Volume &amp; Funnel Build'!$M$11*B25</f>
        <v>11.55</v>
      </c>
      <c r="C26" s="24" t="n">
        <f aca="false">'Volume &amp; Funnel Build'!$Y$11*C25</f>
        <v>299.376</v>
      </c>
      <c r="D26" s="24" t="n">
        <f aca="false">'Volume &amp; Funnel Build'!$AK$11*D25</f>
        <v>600.6</v>
      </c>
      <c r="E26" s="18" t="s">
        <v>61</v>
      </c>
    </row>
    <row r="27" customFormat="false" ht="14.25" hidden="false" customHeight="false" outlineLevel="0" collapsed="false">
      <c r="A27" s="16" t="s">
        <v>62</v>
      </c>
      <c r="B27" s="25" t="n">
        <f aca="false">(B26/B24)^(1/11)-1</f>
        <v>0.0790849476675333</v>
      </c>
      <c r="C27" s="26" t="n">
        <f aca="false">(C26/B26)^(1/11)-1</f>
        <v>0.344349755324422</v>
      </c>
      <c r="D27" s="26" t="n">
        <f aca="false">(D26/C26)^(1/11)-1</f>
        <v>0.0653395041010589</v>
      </c>
      <c r="E27" s="18" t="s">
        <v>63</v>
      </c>
    </row>
    <row r="28" customFormat="false" ht="14.25" hidden="false" customHeight="false" outlineLevel="0" collapsed="false">
      <c r="C28" s="12"/>
      <c r="D28" s="12"/>
      <c r="E28" s="12"/>
    </row>
    <row r="29" customFormat="false" ht="14.25" hidden="false" customHeight="false" outlineLevel="0" collapsed="false">
      <c r="A29" s="16" t="s">
        <v>64</v>
      </c>
      <c r="B29" s="21" t="n">
        <v>5</v>
      </c>
      <c r="C29" s="21"/>
      <c r="D29" s="21"/>
      <c r="E29" s="18" t="s">
        <v>57</v>
      </c>
    </row>
    <row r="30" customFormat="false" ht="14.25" hidden="false" customHeight="false" outlineLevel="0" collapsed="false">
      <c r="A30" s="16" t="s">
        <v>65</v>
      </c>
      <c r="B30" s="22" t="n">
        <v>0.06</v>
      </c>
      <c r="C30" s="22" t="n">
        <v>0.07</v>
      </c>
      <c r="D30" s="22" t="n">
        <v>0.085</v>
      </c>
      <c r="E30" s="18" t="s">
        <v>66</v>
      </c>
    </row>
    <row r="31" customFormat="false" ht="14.25" hidden="false" customHeight="false" outlineLevel="0" collapsed="false">
      <c r="A31" s="16" t="s">
        <v>67</v>
      </c>
      <c r="B31" s="23" t="n">
        <f aca="false">'Volume &amp; Funnel Build'!$M$11*B30</f>
        <v>6.93000000000001</v>
      </c>
      <c r="C31" s="24" t="n">
        <f aca="false">'Volume &amp; Funnel Build'!$Y$11*C30</f>
        <v>174.636</v>
      </c>
      <c r="D31" s="24" t="n">
        <f aca="false">'Volume &amp; Funnel Build'!$AK$11*D30</f>
        <v>392.7</v>
      </c>
      <c r="E31" s="18" t="s">
        <v>68</v>
      </c>
    </row>
    <row r="32" customFormat="false" ht="14.25" hidden="false" customHeight="false" outlineLevel="0" collapsed="false">
      <c r="A32" s="16" t="s">
        <v>69</v>
      </c>
      <c r="B32" s="25" t="n">
        <f aca="false">(B31/B29)^(1/11)-1</f>
        <v>0.0301194004104437</v>
      </c>
      <c r="C32" s="26" t="n">
        <f aca="false">(C31/B31)^(1/11)-1</f>
        <v>0.340911295445335</v>
      </c>
      <c r="D32" s="26" t="n">
        <f aca="false">(D31/C31)^(1/11)-1</f>
        <v>0.0764487928782158</v>
      </c>
      <c r="E32" s="18" t="s">
        <v>70</v>
      </c>
    </row>
    <row r="33" customFormat="false" ht="14.25" hidden="false" customHeight="false" outlineLevel="0" collapsed="false">
      <c r="A33" s="16"/>
      <c r="B33" s="25"/>
      <c r="C33" s="26"/>
      <c r="D33" s="26"/>
      <c r="E33" s="18"/>
    </row>
    <row r="34" customFormat="false" ht="14.25" hidden="false" customHeight="false" outlineLevel="0" collapsed="false">
      <c r="A34" s="14" t="s">
        <v>71</v>
      </c>
      <c r="B34" s="15" t="s">
        <v>38</v>
      </c>
      <c r="C34" s="15" t="s">
        <v>39</v>
      </c>
      <c r="D34" s="15" t="s">
        <v>40</v>
      </c>
      <c r="E34" s="12"/>
    </row>
    <row r="35" customFormat="false" ht="14.25" hidden="false" customHeight="false" outlineLevel="0" collapsed="false">
      <c r="A35" s="16" t="s">
        <v>72</v>
      </c>
      <c r="B35" s="21" t="n">
        <v>220</v>
      </c>
      <c r="C35" s="21"/>
      <c r="D35" s="21"/>
      <c r="E35" s="18" t="s">
        <v>73</v>
      </c>
    </row>
    <row r="36" customFormat="false" ht="14.25" hidden="false" customHeight="false" outlineLevel="0" collapsed="false">
      <c r="A36" s="16" t="s">
        <v>74</v>
      </c>
      <c r="B36" s="19" t="n">
        <v>0.22</v>
      </c>
      <c r="C36" s="19"/>
      <c r="D36" s="19"/>
      <c r="E36" s="18" t="s">
        <v>75</v>
      </c>
    </row>
    <row r="37" customFormat="false" ht="14.25" hidden="false" customHeight="false" outlineLevel="0" collapsed="false">
      <c r="A37" s="16" t="s">
        <v>76</v>
      </c>
      <c r="B37" s="21" t="n">
        <v>0</v>
      </c>
      <c r="C37" s="21"/>
      <c r="D37" s="21"/>
      <c r="E37" s="28" t="s">
        <v>77</v>
      </c>
    </row>
    <row r="38" customFormat="false" ht="14.25" hidden="false" customHeight="false" outlineLevel="0" collapsed="false">
      <c r="A38" s="16" t="s">
        <v>78</v>
      </c>
      <c r="B38" s="27" t="n">
        <v>0</v>
      </c>
      <c r="C38" s="27"/>
      <c r="D38" s="27"/>
      <c r="E38" s="28" t="s">
        <v>79</v>
      </c>
    </row>
    <row r="39" customFormat="false" ht="14.25" hidden="false" customHeight="false" outlineLevel="0" collapsed="false">
      <c r="A39" s="16" t="s">
        <v>80</v>
      </c>
      <c r="B39" s="19" t="n">
        <v>0.011</v>
      </c>
      <c r="C39" s="19"/>
      <c r="D39" s="19"/>
      <c r="E39" s="28" t="s">
        <v>81</v>
      </c>
    </row>
    <row r="40" customFormat="false" ht="14.25" hidden="false" customHeight="false" outlineLevel="0" collapsed="false">
      <c r="A40" s="16" t="s">
        <v>82</v>
      </c>
      <c r="B40" s="19" t="n">
        <v>0.65</v>
      </c>
      <c r="C40" s="19"/>
      <c r="D40" s="19"/>
      <c r="E40" s="18" t="s">
        <v>83</v>
      </c>
    </row>
    <row r="41" customFormat="false" ht="14.25" hidden="false" customHeight="false" outlineLevel="0" collapsed="false">
      <c r="A41" s="16" t="s">
        <v>84</v>
      </c>
      <c r="B41" s="19" t="n">
        <v>0.95</v>
      </c>
      <c r="C41" s="19"/>
      <c r="D41" s="19"/>
      <c r="E41" s="18" t="s">
        <v>85</v>
      </c>
    </row>
    <row r="42" customFormat="false" ht="14.25" hidden="false" customHeight="false" outlineLevel="0" collapsed="false">
      <c r="A42" s="16" t="s">
        <v>86</v>
      </c>
      <c r="B42" s="19" t="n">
        <v>1</v>
      </c>
      <c r="C42" s="19"/>
      <c r="D42" s="19"/>
      <c r="E42" s="18" t="s">
        <v>87</v>
      </c>
    </row>
    <row r="43" customFormat="false" ht="14.25" hidden="false" customHeight="false" outlineLevel="0" collapsed="false">
      <c r="A43" s="16" t="s">
        <v>88</v>
      </c>
      <c r="B43" s="29" t="n">
        <f aca="false">B40</f>
        <v>0.65</v>
      </c>
      <c r="C43" s="29"/>
      <c r="D43" s="29"/>
      <c r="E43" s="18" t="s">
        <v>89</v>
      </c>
    </row>
    <row r="44" customFormat="false" ht="14.25" hidden="false" customHeight="false" outlineLevel="0" collapsed="false">
      <c r="A44" s="16" t="s">
        <v>90</v>
      </c>
      <c r="B44" s="19" t="n">
        <v>0.58</v>
      </c>
      <c r="C44" s="19"/>
      <c r="D44" s="19"/>
      <c r="E44" s="18" t="s">
        <v>91</v>
      </c>
    </row>
    <row r="45" customFormat="false" ht="14.25" hidden="false" customHeight="false" outlineLevel="0" collapsed="false">
      <c r="A45" s="16" t="s">
        <v>92</v>
      </c>
      <c r="B45" s="19" t="n">
        <v>0.6</v>
      </c>
      <c r="C45" s="19"/>
      <c r="D45" s="19"/>
      <c r="E45" s="18" t="s">
        <v>93</v>
      </c>
    </row>
    <row r="46" customFormat="false" ht="14.25" hidden="false" customHeight="false" outlineLevel="0" collapsed="false">
      <c r="C46" s="12"/>
      <c r="D46" s="12"/>
      <c r="E46" s="12"/>
    </row>
    <row r="47" customFormat="false" ht="14.25" hidden="false" customHeight="false" outlineLevel="0" collapsed="false">
      <c r="A47" s="14" t="s">
        <v>94</v>
      </c>
      <c r="B47" s="15" t="s">
        <v>38</v>
      </c>
      <c r="C47" s="15" t="s">
        <v>39</v>
      </c>
      <c r="D47" s="15" t="s">
        <v>40</v>
      </c>
      <c r="E47" s="12"/>
    </row>
    <row r="48" customFormat="false" ht="14.25" hidden="false" customHeight="false" outlineLevel="0" collapsed="false">
      <c r="A48" s="16" t="s">
        <v>95</v>
      </c>
      <c r="B48" s="17" t="n">
        <v>350</v>
      </c>
      <c r="C48" s="17"/>
      <c r="D48" s="17"/>
      <c r="E48" s="18" t="s">
        <v>96</v>
      </c>
    </row>
    <row r="49" customFormat="false" ht="14.25" hidden="false" customHeight="false" outlineLevel="0" collapsed="false">
      <c r="A49" s="16" t="s">
        <v>97</v>
      </c>
      <c r="B49" s="17" t="n">
        <v>680</v>
      </c>
      <c r="C49" s="17"/>
      <c r="D49" s="17"/>
      <c r="E49" s="18" t="s">
        <v>98</v>
      </c>
    </row>
    <row r="50" customFormat="false" ht="14.25" hidden="false" customHeight="false" outlineLevel="0" collapsed="false">
      <c r="A50" s="16" t="s">
        <v>99</v>
      </c>
      <c r="B50" s="17" t="n">
        <v>1000</v>
      </c>
      <c r="C50" s="17"/>
      <c r="D50" s="17"/>
      <c r="E50" s="18" t="s">
        <v>100</v>
      </c>
    </row>
    <row r="51" customFormat="false" ht="14.25" hidden="false" customHeight="false" outlineLevel="0" collapsed="false">
      <c r="A51" s="16" t="s">
        <v>101</v>
      </c>
      <c r="B51" s="19" t="n">
        <v>0.5</v>
      </c>
      <c r="C51" s="19"/>
      <c r="D51" s="19"/>
      <c r="E51" s="18" t="s">
        <v>102</v>
      </c>
    </row>
    <row r="52" customFormat="false" ht="14.25" hidden="false" customHeight="false" outlineLevel="0" collapsed="false">
      <c r="A52" s="16" t="s">
        <v>103</v>
      </c>
      <c r="B52" s="19" t="n">
        <v>0.35</v>
      </c>
      <c r="C52" s="19"/>
      <c r="D52" s="19"/>
      <c r="E52" s="12"/>
    </row>
    <row r="53" customFormat="false" ht="14.25" hidden="false" customHeight="false" outlineLevel="0" collapsed="false">
      <c r="A53" s="16" t="s">
        <v>104</v>
      </c>
      <c r="B53" s="19" t="n">
        <v>0.15</v>
      </c>
      <c r="C53" s="19"/>
      <c r="D53" s="19"/>
      <c r="E53" s="18" t="s">
        <v>105</v>
      </c>
    </row>
    <row r="54" customFormat="false" ht="14.25" hidden="false" customHeight="false" outlineLevel="0" collapsed="false">
      <c r="C54" s="12"/>
      <c r="D54" s="12"/>
      <c r="E54" s="12"/>
    </row>
    <row r="55" customFormat="false" ht="14.25" hidden="false" customHeight="false" outlineLevel="0" collapsed="false">
      <c r="A55" s="16" t="s">
        <v>106</v>
      </c>
      <c r="B55" s="21" t="n">
        <v>89</v>
      </c>
      <c r="C55" s="21"/>
      <c r="D55" s="21"/>
      <c r="E55" s="18" t="s">
        <v>107</v>
      </c>
    </row>
    <row r="56" customFormat="false" ht="14.25" hidden="false" customHeight="false" outlineLevel="0" collapsed="false">
      <c r="A56" s="16" t="s">
        <v>108</v>
      </c>
      <c r="B56" s="21" t="n">
        <v>149</v>
      </c>
      <c r="C56" s="21"/>
      <c r="D56" s="21"/>
      <c r="E56" s="18" t="s">
        <v>109</v>
      </c>
    </row>
    <row r="57" customFormat="false" ht="14.25" hidden="false" customHeight="false" outlineLevel="0" collapsed="false">
      <c r="A57" s="16" t="s">
        <v>110</v>
      </c>
      <c r="B57" s="21" t="n">
        <v>249</v>
      </c>
      <c r="C57" s="21"/>
      <c r="D57" s="21"/>
      <c r="E57" s="18" t="s">
        <v>111</v>
      </c>
    </row>
    <row r="58" customFormat="false" ht="14.25" hidden="false" customHeight="false" outlineLevel="0" collapsed="false">
      <c r="A58" s="16" t="s">
        <v>112</v>
      </c>
      <c r="B58" s="19" t="n">
        <v>0.5</v>
      </c>
      <c r="C58" s="19"/>
      <c r="D58" s="19"/>
      <c r="E58" s="18" t="s">
        <v>113</v>
      </c>
    </row>
    <row r="59" customFormat="false" ht="14.25" hidden="false" customHeight="false" outlineLevel="0" collapsed="false">
      <c r="A59" s="16" t="s">
        <v>114</v>
      </c>
      <c r="B59" s="19" t="n">
        <v>0.35</v>
      </c>
      <c r="C59" s="19"/>
      <c r="D59" s="19"/>
      <c r="E59" s="12"/>
    </row>
    <row r="60" customFormat="false" ht="14.25" hidden="false" customHeight="false" outlineLevel="0" collapsed="false">
      <c r="A60" s="16" t="s">
        <v>115</v>
      </c>
      <c r="B60" s="19" t="n">
        <v>0.15</v>
      </c>
      <c r="C60" s="19"/>
      <c r="D60" s="19"/>
      <c r="E60" s="12"/>
    </row>
    <row r="61" customFormat="false" ht="14.25" hidden="false" customHeight="false" outlineLevel="0" collapsed="false">
      <c r="C61" s="12"/>
      <c r="D61" s="12"/>
      <c r="E61" s="12"/>
    </row>
    <row r="62" customFormat="false" ht="14.25" hidden="false" customHeight="false" outlineLevel="0" collapsed="false">
      <c r="A62" s="16" t="s">
        <v>116</v>
      </c>
      <c r="B62" s="19" t="n">
        <v>0.04</v>
      </c>
      <c r="C62" s="19"/>
      <c r="D62" s="19"/>
      <c r="E62" s="18" t="s">
        <v>117</v>
      </c>
    </row>
    <row r="63" customFormat="false" ht="14.25" hidden="false" customHeight="false" outlineLevel="0" collapsed="false">
      <c r="C63" s="12"/>
      <c r="D63" s="12"/>
      <c r="E63" s="12"/>
    </row>
    <row r="64" customFormat="false" ht="14.25" hidden="false" customHeight="false" outlineLevel="0" collapsed="false">
      <c r="C64" s="12"/>
      <c r="D64" s="12"/>
      <c r="E64" s="12"/>
    </row>
    <row r="65" customFormat="false" ht="14.25" hidden="false" customHeight="false" outlineLevel="0" collapsed="false">
      <c r="A65" s="14" t="s">
        <v>118</v>
      </c>
      <c r="B65" s="15" t="s">
        <v>38</v>
      </c>
      <c r="C65" s="15" t="s">
        <v>39</v>
      </c>
      <c r="D65" s="15" t="s">
        <v>40</v>
      </c>
      <c r="E65" s="12"/>
    </row>
    <row r="66" customFormat="false" ht="14.25" hidden="false" customHeight="false" outlineLevel="0" collapsed="false">
      <c r="A66" s="16" t="s">
        <v>119</v>
      </c>
      <c r="B66" s="21" t="n">
        <v>8</v>
      </c>
      <c r="C66" s="21"/>
      <c r="D66" s="21"/>
      <c r="E66" s="18" t="s">
        <v>120</v>
      </c>
    </row>
    <row r="67" customFormat="false" ht="14.25" hidden="false" customHeight="false" outlineLevel="0" collapsed="false">
      <c r="A67" s="16" t="s">
        <v>121</v>
      </c>
      <c r="B67" s="30" t="n">
        <v>0</v>
      </c>
      <c r="C67" s="31" t="n">
        <v>0</v>
      </c>
      <c r="D67" s="31" t="n">
        <v>0</v>
      </c>
      <c r="E67" s="18" t="s">
        <v>122</v>
      </c>
    </row>
    <row r="68" customFormat="false" ht="14.25" hidden="false" customHeight="false" outlineLevel="0" collapsed="false">
      <c r="A68" s="16" t="s">
        <v>123</v>
      </c>
      <c r="B68" s="30" t="n">
        <v>10000</v>
      </c>
      <c r="C68" s="31" t="n">
        <v>10000</v>
      </c>
      <c r="D68" s="31" t="n">
        <v>10000</v>
      </c>
      <c r="E68" s="18" t="s">
        <v>124</v>
      </c>
    </row>
    <row r="69" customFormat="false" ht="14.25" hidden="false" customHeight="false" outlineLevel="0" collapsed="false">
      <c r="A69" s="16" t="s">
        <v>125</v>
      </c>
      <c r="B69" s="30" t="n">
        <v>60000</v>
      </c>
      <c r="C69" s="31" t="n">
        <v>60000</v>
      </c>
      <c r="D69" s="31" t="n">
        <v>60000</v>
      </c>
      <c r="E69" s="18" t="s">
        <v>126</v>
      </c>
    </row>
    <row r="70" customFormat="false" ht="14.25" hidden="false" customHeight="false" outlineLevel="0" collapsed="false">
      <c r="C70" s="12"/>
      <c r="D70" s="12"/>
      <c r="E70" s="12"/>
    </row>
    <row r="71" customFormat="false" ht="14.25" hidden="false" customHeight="false" outlineLevel="0" collapsed="false">
      <c r="A71" s="14" t="s">
        <v>127</v>
      </c>
      <c r="B71" s="15" t="s">
        <v>38</v>
      </c>
      <c r="C71" s="15" t="s">
        <v>39</v>
      </c>
      <c r="D71" s="15" t="s">
        <v>40</v>
      </c>
      <c r="E71" s="12"/>
    </row>
    <row r="72" customFormat="false" ht="14.25" hidden="false" customHeight="false" outlineLevel="0" collapsed="false">
      <c r="A72" s="16" t="s">
        <v>128</v>
      </c>
      <c r="B72" s="21" t="n">
        <v>0</v>
      </c>
      <c r="C72" s="21"/>
      <c r="D72" s="21"/>
      <c r="E72" s="18"/>
    </row>
    <row r="73" customFormat="false" ht="14.25" hidden="false" customHeight="false" outlineLevel="0" collapsed="false">
      <c r="A73" s="16" t="s">
        <v>129</v>
      </c>
      <c r="B73" s="21" t="n">
        <v>0</v>
      </c>
      <c r="C73" s="21"/>
      <c r="D73" s="21"/>
      <c r="E73" s="18"/>
    </row>
    <row r="74" customFormat="false" ht="14.25" hidden="false" customHeight="false" outlineLevel="0" collapsed="false">
      <c r="A74" s="16" t="s">
        <v>130</v>
      </c>
      <c r="B74" s="21" t="n">
        <v>0</v>
      </c>
      <c r="C74" s="21"/>
      <c r="D74" s="21"/>
      <c r="E74" s="18"/>
    </row>
    <row r="75" customFormat="false" ht="14.25" hidden="false" customHeight="false" outlineLevel="0" collapsed="false">
      <c r="A75" s="16" t="s">
        <v>131</v>
      </c>
      <c r="B75" s="21" t="n">
        <v>5000</v>
      </c>
      <c r="C75" s="21"/>
      <c r="D75" s="21"/>
      <c r="E75" s="18"/>
    </row>
    <row r="76" customFormat="false" ht="14.25" hidden="false" customHeight="false" outlineLevel="0" collapsed="false">
      <c r="A76" s="16" t="s">
        <v>132</v>
      </c>
      <c r="B76" s="21" t="n">
        <v>0</v>
      </c>
      <c r="C76" s="21"/>
      <c r="D76" s="21"/>
      <c r="E76" s="18"/>
    </row>
    <row r="77" customFormat="false" ht="14.25" hidden="false" customHeight="false" outlineLevel="0" collapsed="false">
      <c r="A77" s="32" t="s">
        <v>133</v>
      </c>
      <c r="B77" s="20" t="n">
        <f aca="false">SUM(B72:B76)</f>
        <v>5000</v>
      </c>
      <c r="C77" s="20"/>
      <c r="D77" s="20"/>
      <c r="E77" s="12"/>
    </row>
    <row r="78" customFormat="false" ht="14.25" hidden="false" customHeight="false" outlineLevel="0" collapsed="false">
      <c r="C78" s="12"/>
      <c r="D78" s="12"/>
      <c r="E78" s="12"/>
    </row>
    <row r="79" customFormat="false" ht="14.25" hidden="false" customHeight="false" outlineLevel="0" collapsed="false">
      <c r="C79" s="12"/>
      <c r="D79" s="12"/>
      <c r="E79" s="12"/>
    </row>
    <row r="80" customFormat="false" ht="14.25" hidden="false" customHeight="false" outlineLevel="0" collapsed="false">
      <c r="C80" s="12"/>
      <c r="D80" s="12"/>
      <c r="E80" s="12"/>
    </row>
    <row r="81" customFormat="false" ht="14.25" hidden="false" customHeight="false" outlineLevel="0" collapsed="false">
      <c r="C81" s="12"/>
      <c r="D81" s="12"/>
      <c r="E81" s="12"/>
    </row>
    <row r="82" customFormat="false" ht="14.25" hidden="false" customHeight="false" outlineLevel="0" collapsed="false">
      <c r="C82" s="12"/>
      <c r="D82" s="12"/>
      <c r="E82" s="12"/>
    </row>
  </sheetData>
  <mergeCells count="41">
    <mergeCell ref="B5:D5"/>
    <mergeCell ref="B6:D6"/>
    <mergeCell ref="B7:D7"/>
    <mergeCell ref="B8:D8"/>
    <mergeCell ref="B9:D9"/>
    <mergeCell ref="B10:D10"/>
    <mergeCell ref="B13:D13"/>
    <mergeCell ref="B20:D20"/>
    <mergeCell ref="B24:D24"/>
    <mergeCell ref="B29:D29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8:D48"/>
    <mergeCell ref="B49:D49"/>
    <mergeCell ref="B50:D50"/>
    <mergeCell ref="B51:D51"/>
    <mergeCell ref="B52:D52"/>
    <mergeCell ref="B53:D53"/>
    <mergeCell ref="B55:D55"/>
    <mergeCell ref="B56:D56"/>
    <mergeCell ref="B57:D57"/>
    <mergeCell ref="B58:D58"/>
    <mergeCell ref="B59:D59"/>
    <mergeCell ref="B60:D60"/>
    <mergeCell ref="B62:D62"/>
    <mergeCell ref="B66:D66"/>
    <mergeCell ref="B72:D72"/>
    <mergeCell ref="B73:D73"/>
    <mergeCell ref="B74:D74"/>
    <mergeCell ref="B75:D75"/>
    <mergeCell ref="B76:D76"/>
    <mergeCell ref="B77:D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M30" activeCellId="0" sqref="AM3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41.27"/>
    <col collapsed="false" customWidth="true" hidden="false" outlineLevel="0" max="37" min="2" style="0" width="9.54"/>
    <col collapsed="false" customWidth="true" hidden="false" outlineLevel="0" max="40" min="38" style="0" width="12"/>
  </cols>
  <sheetData>
    <row r="1" customFormat="false" ht="18" hidden="false" customHeight="true" outlineLevel="0" collapsed="false">
      <c r="A1" s="33" t="s">
        <v>134</v>
      </c>
    </row>
    <row r="2" customFormat="false" ht="14.25" hidden="false" customHeight="false" outlineLevel="0" collapsed="false">
      <c r="A2" s="3" t="s">
        <v>135</v>
      </c>
    </row>
    <row r="4" customFormat="false" ht="15.75" hidden="false" customHeight="true" outlineLevel="0" collapsed="false">
      <c r="B4" s="34" t="s">
        <v>136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 t="s">
        <v>137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 t="s">
        <v>138</v>
      </c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5" t="s">
        <v>139</v>
      </c>
      <c r="AM4" s="36" t="s">
        <v>140</v>
      </c>
      <c r="AN4" s="36" t="s">
        <v>141</v>
      </c>
    </row>
    <row r="5" customFormat="false" ht="15.75" hidden="false" customHeight="true" outlineLevel="0" collapsed="false">
      <c r="B5" s="37" t="n">
        <v>46048</v>
      </c>
      <c r="C5" s="37" t="n">
        <v>46079</v>
      </c>
      <c r="D5" s="37" t="n">
        <v>46107</v>
      </c>
      <c r="E5" s="37" t="n">
        <v>46138</v>
      </c>
      <c r="F5" s="37" t="n">
        <v>46168</v>
      </c>
      <c r="G5" s="37" t="n">
        <v>46199</v>
      </c>
      <c r="H5" s="37" t="n">
        <v>46229</v>
      </c>
      <c r="I5" s="37" t="n">
        <v>46260</v>
      </c>
      <c r="J5" s="37" t="n">
        <v>46291</v>
      </c>
      <c r="K5" s="37" t="n">
        <v>46321</v>
      </c>
      <c r="L5" s="37" t="n">
        <v>46352</v>
      </c>
      <c r="M5" s="37" t="n">
        <v>46382</v>
      </c>
      <c r="N5" s="38" t="n">
        <v>46049</v>
      </c>
      <c r="O5" s="37" t="n">
        <v>46080</v>
      </c>
      <c r="P5" s="37" t="n">
        <v>46108</v>
      </c>
      <c r="Q5" s="37" t="n">
        <v>46139</v>
      </c>
      <c r="R5" s="37" t="n">
        <v>46169</v>
      </c>
      <c r="S5" s="37" t="n">
        <v>46200</v>
      </c>
      <c r="T5" s="37" t="n">
        <v>46230</v>
      </c>
      <c r="U5" s="37" t="n">
        <v>46261</v>
      </c>
      <c r="V5" s="37" t="n">
        <v>46292</v>
      </c>
      <c r="W5" s="37" t="n">
        <v>46322</v>
      </c>
      <c r="X5" s="37" t="n">
        <v>46353</v>
      </c>
      <c r="Y5" s="37" t="n">
        <v>46383</v>
      </c>
      <c r="Z5" s="38" t="n">
        <v>46050</v>
      </c>
      <c r="AA5" s="37" t="n">
        <v>46081</v>
      </c>
      <c r="AB5" s="37" t="n">
        <v>46109</v>
      </c>
      <c r="AC5" s="37" t="n">
        <v>46140</v>
      </c>
      <c r="AD5" s="37" t="n">
        <v>46170</v>
      </c>
      <c r="AE5" s="37" t="n">
        <v>46201</v>
      </c>
      <c r="AF5" s="37" t="n">
        <v>46231</v>
      </c>
      <c r="AG5" s="37" t="n">
        <v>46262</v>
      </c>
      <c r="AH5" s="37" t="n">
        <v>46293</v>
      </c>
      <c r="AI5" s="37" t="n">
        <v>46323</v>
      </c>
      <c r="AJ5" s="37" t="n">
        <v>46354</v>
      </c>
      <c r="AK5" s="37" t="n">
        <v>46384</v>
      </c>
      <c r="AL5" s="39" t="s">
        <v>142</v>
      </c>
      <c r="AM5" s="40" t="s">
        <v>143</v>
      </c>
      <c r="AN5" s="40" t="s">
        <v>144</v>
      </c>
    </row>
    <row r="6" customFormat="false" ht="14.25" hidden="false" customHeight="false" outlineLevel="0" collapsed="false">
      <c r="N6" s="41"/>
      <c r="Z6" s="41"/>
      <c r="AL6" s="41"/>
    </row>
    <row r="7" customFormat="false" ht="14.25" hidden="false" customHeight="false" outlineLevel="0" collapsed="false">
      <c r="A7" s="42" t="s">
        <v>145</v>
      </c>
      <c r="B7" s="43" t="n">
        <f aca="false">Assumptions!B13</f>
        <v>500</v>
      </c>
      <c r="C7" s="43" t="n">
        <f aca="false">B7*(1+Assumptions!B17)</f>
        <v>520.016761843285</v>
      </c>
      <c r="D7" s="43" t="n">
        <f aca="false">C7*(1+Assumptions!B17)</f>
        <v>540.834865195951</v>
      </c>
      <c r="E7" s="43" t="n">
        <f aca="false">D7*(1+Assumptions!B17)</f>
        <v>562.486390582296</v>
      </c>
      <c r="F7" s="43" t="n">
        <f aca="false">E7*(1+Assumptions!B17)</f>
        <v>585.004702823046</v>
      </c>
      <c r="G7" s="43" t="n">
        <f aca="false">F7*(1+Assumptions!B17)</f>
        <v>608.424502450267</v>
      </c>
      <c r="H7" s="43" t="n">
        <f aca="false">G7*(1+Assumptions!B17)</f>
        <v>632.781879180599</v>
      </c>
      <c r="I7" s="43" t="n">
        <f aca="false">H7*(1+Assumptions!B17)</f>
        <v>658.114367529207</v>
      </c>
      <c r="J7" s="43" t="n">
        <f aca="false">I7*(1+Assumptions!B17)</f>
        <v>684.46100465016</v>
      </c>
      <c r="K7" s="43" t="n">
        <f aca="false">J7*(1+Assumptions!B17)</f>
        <v>711.862390492355</v>
      </c>
      <c r="L7" s="43" t="n">
        <f aca="false">K7*(1+Assumptions!B17)</f>
        <v>740.360750363709</v>
      </c>
      <c r="M7" s="43" t="n">
        <f aca="false">L7*(1+Assumptions!B17)</f>
        <v>770.000000000001</v>
      </c>
      <c r="N7" s="44" t="n">
        <f aca="false">M7</f>
        <v>770.000000000001</v>
      </c>
      <c r="O7" s="43" t="n">
        <f aca="false">N7*(1+Assumptions!C17)</f>
        <v>1001.39728005262</v>
      </c>
      <c r="P7" s="43" t="n">
        <f aca="false">O7*(1+Assumptions!C17)</f>
        <v>1302.33313311272</v>
      </c>
      <c r="Q7" s="43" t="n">
        <f aca="false">P7*(1+Assumptions!C17)</f>
        <v>1693.70500937855</v>
      </c>
      <c r="R7" s="43" t="n">
        <f aca="false">Q7*(1+Assumptions!C17)</f>
        <v>2202.69037610803</v>
      </c>
      <c r="S7" s="43" t="n">
        <f aca="false">R7*(1+Assumptions!C17)</f>
        <v>2864.63396289957</v>
      </c>
      <c r="T7" s="43" t="n">
        <f aca="false">S7*(1+Assumptions!C17)</f>
        <v>3725.50215427791</v>
      </c>
      <c r="U7" s="43" t="n">
        <f aca="false">T7*(1+Assumptions!C17)</f>
        <v>4845.07496639492</v>
      </c>
      <c r="V7" s="43" t="n">
        <f aca="false">U7*(1+Assumptions!C17)</f>
        <v>6301.09726363497</v>
      </c>
      <c r="W7" s="43" t="n">
        <f aca="false">V7*(1+Assumptions!C17)</f>
        <v>8194.67748201439</v>
      </c>
      <c r="X7" s="43" t="n">
        <f aca="false">W7*(1+Assumptions!C17)</f>
        <v>10657.3087550619</v>
      </c>
      <c r="Y7" s="43" t="n">
        <f aca="false">X7*(1+Assumptions!C17)</f>
        <v>13860</v>
      </c>
      <c r="Z7" s="44" t="n">
        <f aca="false">Y7</f>
        <v>13860</v>
      </c>
      <c r="AA7" s="43" t="n">
        <f aca="false">Z7*(1+Assumptions!D17)</f>
        <v>14518.8192443642</v>
      </c>
      <c r="AB7" s="43" t="n">
        <f aca="false">AA7*(1+Assumptions!D17)</f>
        <v>15208.9547078297</v>
      </c>
      <c r="AC7" s="43" t="n">
        <f aca="false">AB7*(1+Assumptions!D17)</f>
        <v>15931.8949710462</v>
      </c>
      <c r="AD7" s="43" t="n">
        <f aca="false">AC7*(1+Assumptions!D17)</f>
        <v>16689.1993726417</v>
      </c>
      <c r="AE7" s="43" t="n">
        <f aca="false">AD7*(1+Assumptions!D17)</f>
        <v>17482.5013726219</v>
      </c>
      <c r="AF7" s="43" t="n">
        <f aca="false">AE7*(1+Assumptions!D17)</f>
        <v>18313.5120756455</v>
      </c>
      <c r="AG7" s="43" t="n">
        <f aca="false">AF7*(1+Assumptions!D17)</f>
        <v>19184.0239217732</v>
      </c>
      <c r="AH7" s="43" t="n">
        <f aca="false">AG7*(1+Assumptions!D17)</f>
        <v>20095.9145526539</v>
      </c>
      <c r="AI7" s="43" t="n">
        <f aca="false">AH7*(1+Assumptions!D17)</f>
        <v>21051.1508614841</v>
      </c>
      <c r="AJ7" s="43" t="n">
        <f aca="false">AI7*(1+Assumptions!D17)</f>
        <v>22051.7932354782</v>
      </c>
      <c r="AK7" s="43" t="n">
        <f aca="false">AJ7*(1+Assumptions!D17)</f>
        <v>23100</v>
      </c>
      <c r="AL7" s="44" t="n">
        <f aca="false">M7</f>
        <v>770.000000000001</v>
      </c>
      <c r="AM7" s="43" t="n">
        <f aca="false">Y7</f>
        <v>13860</v>
      </c>
      <c r="AN7" s="43" t="n">
        <f aca="false">AK7</f>
        <v>23100</v>
      </c>
    </row>
    <row r="8" customFormat="false" ht="14.25" hidden="false" customHeight="false" outlineLevel="0" collapsed="false">
      <c r="A8" s="45" t="s">
        <v>146</v>
      </c>
      <c r="B8" s="43" t="n">
        <f aca="false">B7</f>
        <v>500</v>
      </c>
      <c r="C8" s="43" t="n">
        <f aca="false">C7-B7</f>
        <v>20.0167618432848</v>
      </c>
      <c r="D8" s="43" t="n">
        <f aca="false">D7-C7</f>
        <v>20.8181033526664</v>
      </c>
      <c r="E8" s="43" t="n">
        <f aca="false">E7-D7</f>
        <v>21.6515253863448</v>
      </c>
      <c r="F8" s="43" t="n">
        <f aca="false">F7-E7</f>
        <v>22.5183122407494</v>
      </c>
      <c r="G8" s="43" t="n">
        <f aca="false">G7-F7</f>
        <v>23.419799627221</v>
      </c>
      <c r="H8" s="43" t="n">
        <f aca="false">H7-G7</f>
        <v>24.3573767303321</v>
      </c>
      <c r="I8" s="43" t="n">
        <f aca="false">I7-H7</f>
        <v>25.3324883486085</v>
      </c>
      <c r="J8" s="43" t="n">
        <f aca="false">J7-I7</f>
        <v>26.3466371209523</v>
      </c>
      <c r="K8" s="43" t="n">
        <f aca="false">K7-J7</f>
        <v>27.4013858421954</v>
      </c>
      <c r="L8" s="43" t="n">
        <f aca="false">L7-K7</f>
        <v>28.4983598713537</v>
      </c>
      <c r="M8" s="43" t="n">
        <f aca="false">M7-L7</f>
        <v>29.639249636292</v>
      </c>
      <c r="N8" s="44" t="n">
        <f aca="false">N7-M7</f>
        <v>0</v>
      </c>
      <c r="O8" s="43" t="n">
        <f aca="false">O7-N7</f>
        <v>231.397280052623</v>
      </c>
      <c r="P8" s="43" t="n">
        <f aca="false">P7-O7</f>
        <v>300.935853060093</v>
      </c>
      <c r="Q8" s="43" t="n">
        <f aca="false">Q7-P7</f>
        <v>391.371876265835</v>
      </c>
      <c r="R8" s="43" t="n">
        <f aca="false">R7-Q7</f>
        <v>508.985366729478</v>
      </c>
      <c r="S8" s="43" t="n">
        <f aca="false">S7-R7</f>
        <v>661.94358679154</v>
      </c>
      <c r="T8" s="43" t="n">
        <f aca="false">T7-S7</f>
        <v>860.868191378345</v>
      </c>
      <c r="U8" s="43" t="n">
        <f aca="false">U7-T7</f>
        <v>1119.57281211701</v>
      </c>
      <c r="V8" s="43" t="n">
        <f aca="false">V7-U7</f>
        <v>1456.02229724005</v>
      </c>
      <c r="W8" s="43" t="n">
        <f aca="false">W7-V7</f>
        <v>1893.58021837942</v>
      </c>
      <c r="X8" s="43" t="n">
        <f aca="false">X7-W7</f>
        <v>2462.63127304754</v>
      </c>
      <c r="Y8" s="43" t="n">
        <f aca="false">Y7-X7</f>
        <v>3202.69124493809</v>
      </c>
      <c r="Z8" s="44" t="n">
        <f aca="false">Z7-Y7</f>
        <v>0</v>
      </c>
      <c r="AA8" s="43" t="n">
        <f aca="false">AA7-Z7</f>
        <v>658.819244364153</v>
      </c>
      <c r="AB8" s="43" t="n">
        <f aca="false">AB7-AA7</f>
        <v>690.135463465491</v>
      </c>
      <c r="AC8" s="43" t="n">
        <f aca="false">AC7-AB7</f>
        <v>722.940263216518</v>
      </c>
      <c r="AD8" s="43" t="n">
        <f aca="false">AD7-AC7</f>
        <v>757.304401595504</v>
      </c>
      <c r="AE8" s="43" t="n">
        <f aca="false">AE7-AD7</f>
        <v>793.301999980264</v>
      </c>
      <c r="AF8" s="43" t="n">
        <f aca="false">AF7-AE7</f>
        <v>831.010703023523</v>
      </c>
      <c r="AG8" s="43" t="n">
        <f aca="false">AG7-AF7</f>
        <v>870.511846127745</v>
      </c>
      <c r="AH8" s="43" t="n">
        <f aca="false">AH7-AG7</f>
        <v>911.890630880695</v>
      </c>
      <c r="AI8" s="43" t="n">
        <f aca="false">AI7-AH7</f>
        <v>955.236308830161</v>
      </c>
      <c r="AJ8" s="43" t="n">
        <f aca="false">AJ7-AI7</f>
        <v>1000.64237399413</v>
      </c>
      <c r="AK8" s="43" t="n">
        <f aca="false">AK7-AJ7</f>
        <v>1048.20676452181</v>
      </c>
      <c r="AL8" s="44" t="n">
        <f aca="false">SUM(B8:M8)</f>
        <v>770.000000000001</v>
      </c>
      <c r="AM8" s="43" t="n">
        <f aca="false">SUM(N8:Y8)</f>
        <v>13090</v>
      </c>
      <c r="AN8" s="43" t="n">
        <f aca="false">SUM(Z8:AK8)</f>
        <v>9240</v>
      </c>
    </row>
    <row r="9" customFormat="false" ht="14.25" hidden="false" customHeight="false" outlineLevel="0" collapsed="false">
      <c r="A9" s="46" t="s">
        <v>147</v>
      </c>
      <c r="B9" s="47" t="n">
        <f aca="false">B7/Assumptions!B10</f>
        <v>0.00649350649350649</v>
      </c>
      <c r="C9" s="47" t="n">
        <f aca="false">C7/Assumptions!B10</f>
        <v>0.00675346443952318</v>
      </c>
      <c r="D9" s="47" t="n">
        <f aca="false">D7/Assumptions!B10</f>
        <v>0.00702382941812924</v>
      </c>
      <c r="E9" s="47" t="n">
        <f aca="false">E7/Assumptions!B10</f>
        <v>0.00730501805951034</v>
      </c>
      <c r="F9" s="47" t="n">
        <f aca="false">F7/Assumptions!B10</f>
        <v>0.00759746367302657</v>
      </c>
      <c r="G9" s="47" t="n">
        <f aca="false">G7/Assumptions!B10</f>
        <v>0.00790161691493853</v>
      </c>
      <c r="H9" s="47" t="n">
        <f aca="false">H7/Assumptions!B10</f>
        <v>0.00821794648286492</v>
      </c>
      <c r="I9" s="47" t="n">
        <f aca="false">I7/Assumptions!B10</f>
        <v>0.00854693983804165</v>
      </c>
      <c r="J9" s="47" t="n">
        <f aca="false">J7/Assumptions!B10</f>
        <v>0.00888910395649558</v>
      </c>
      <c r="K9" s="47" t="n">
        <f aca="false">K7/Assumptions!B10</f>
        <v>0.00924496611029032</v>
      </c>
      <c r="L9" s="47" t="n">
        <f aca="false">L7/Assumptions!B10</f>
        <v>0.00961507468004816</v>
      </c>
      <c r="M9" s="47" t="n">
        <f aca="false">M7/Assumptions!B10</f>
        <v>0.01</v>
      </c>
      <c r="N9" s="48" t="n">
        <f aca="false">N7/Assumptions!B10</f>
        <v>0.01</v>
      </c>
      <c r="O9" s="47" t="n">
        <f aca="false">O7/Assumptions!B10</f>
        <v>0.0130051594812029</v>
      </c>
      <c r="P9" s="47" t="n">
        <f aca="false">P7/Assumptions!B10</f>
        <v>0.0169134173131522</v>
      </c>
      <c r="Q9" s="47" t="n">
        <f aca="false">Q7/Assumptions!B10</f>
        <v>0.0219961689529682</v>
      </c>
      <c r="R9" s="47" t="n">
        <f aca="false">R7/Assumptions!B10</f>
        <v>0.0286063685208835</v>
      </c>
      <c r="S9" s="47" t="n">
        <f aca="false">S7/Assumptions!B10</f>
        <v>0.0372030384792152</v>
      </c>
      <c r="T9" s="47" t="n">
        <f aca="false">T7/Assumptions!B10</f>
        <v>0.0483831448607521</v>
      </c>
      <c r="U9" s="47" t="n">
        <f aca="false">U7/Assumptions!B10</f>
        <v>0.0629230515116224</v>
      </c>
      <c r="V9" s="47" t="n">
        <f aca="false">V7/Assumptions!B10</f>
        <v>0.0818324319952593</v>
      </c>
      <c r="W9" s="47" t="n">
        <f aca="false">W7/Assumptions!B10</f>
        <v>0.106424382883304</v>
      </c>
      <c r="X9" s="47" t="n">
        <f aca="false">X7/Assumptions!B10</f>
        <v>0.138406607208596</v>
      </c>
      <c r="Y9" s="47" t="n">
        <f aca="false">Y7/Assumptions!B10</f>
        <v>0.18</v>
      </c>
      <c r="Z9" s="48" t="n">
        <f aca="false">Z7/Assumptions!B10</f>
        <v>0.18</v>
      </c>
      <c r="AA9" s="47" t="n">
        <f aca="false">AA7/Assumptions!B10</f>
        <v>0.188556094082652</v>
      </c>
      <c r="AB9" s="47" t="n">
        <f aca="false">AB7/Assumptions!B10</f>
        <v>0.197518892309476</v>
      </c>
      <c r="AC9" s="47" t="n">
        <f aca="false">AC7/Assumptions!B10</f>
        <v>0.206907726896704</v>
      </c>
      <c r="AD9" s="47" t="n">
        <f aca="false">AD7/Assumptions!B10</f>
        <v>0.216742848995347</v>
      </c>
      <c r="AE9" s="47" t="n">
        <f aca="false">AE7/Assumptions!B10</f>
        <v>0.227045472371714</v>
      </c>
      <c r="AF9" s="47" t="n">
        <f aca="false">AF7/Assumptions!B10</f>
        <v>0.237837819164227</v>
      </c>
      <c r="AG9" s="47" t="n">
        <f aca="false">AG7/Assumptions!B10</f>
        <v>0.249143167815237</v>
      </c>
      <c r="AH9" s="47" t="n">
        <f aca="false">AH7/Assumptions!B10</f>
        <v>0.26098590328122</v>
      </c>
      <c r="AI9" s="47" t="n">
        <f aca="false">AI7/Assumptions!B10</f>
        <v>0.273391569629663</v>
      </c>
      <c r="AJ9" s="47" t="n">
        <f aca="false">AJ7/Assumptions!B10</f>
        <v>0.286386925136081</v>
      </c>
      <c r="AK9" s="47" t="n">
        <f aca="false">AK7/Assumptions!B10</f>
        <v>0.3</v>
      </c>
      <c r="AL9" s="48" t="n">
        <f aca="false">M9</f>
        <v>0.01</v>
      </c>
      <c r="AM9" s="47" t="n">
        <f aca="false">Y9</f>
        <v>0.18</v>
      </c>
      <c r="AN9" s="47" t="n">
        <f aca="false">AK9</f>
        <v>0.3</v>
      </c>
    </row>
    <row r="10" customFormat="false" ht="14.25" hidden="false" customHeight="false" outlineLevel="0" collapsed="false">
      <c r="N10" s="41"/>
      <c r="Z10" s="41"/>
      <c r="AL10" s="41"/>
    </row>
    <row r="11" customFormat="false" ht="14.25" hidden="false" customHeight="false" outlineLevel="0" collapsed="false">
      <c r="A11" s="42" t="s">
        <v>148</v>
      </c>
      <c r="B11" s="43" t="n">
        <f aca="false">B7*Assumptions!B19</f>
        <v>75</v>
      </c>
      <c r="C11" s="43" t="n">
        <f aca="false">C7*Assumptions!B19</f>
        <v>78.0025142764927</v>
      </c>
      <c r="D11" s="43" t="n">
        <f aca="false">D7*Assumptions!B19</f>
        <v>81.1252297793927</v>
      </c>
      <c r="E11" s="43" t="n">
        <f aca="false">E7*Assumptions!B19</f>
        <v>84.3729585873444</v>
      </c>
      <c r="F11" s="43" t="n">
        <f aca="false">F7*Assumptions!B19</f>
        <v>87.7507054234568</v>
      </c>
      <c r="G11" s="43" t="n">
        <f aca="false">G7*Assumptions!B19</f>
        <v>91.26367536754</v>
      </c>
      <c r="H11" s="43" t="n">
        <f aca="false">H7*Assumptions!B19</f>
        <v>94.9172818770898</v>
      </c>
      <c r="I11" s="43" t="n">
        <f aca="false">I7*Assumptions!B19</f>
        <v>98.7171551293811</v>
      </c>
      <c r="J11" s="43" t="n">
        <f aca="false">J7*Assumptions!B19</f>
        <v>102.669150697524</v>
      </c>
      <c r="K11" s="43" t="n">
        <f aca="false">K7*Assumptions!B19</f>
        <v>106.779358573853</v>
      </c>
      <c r="L11" s="43" t="n">
        <f aca="false">L7*Assumptions!B19</f>
        <v>111.054112554556</v>
      </c>
      <c r="M11" s="43" t="n">
        <f aca="false">M7*Assumptions!B19</f>
        <v>115.5</v>
      </c>
      <c r="N11" s="44" t="n">
        <f aca="false">N7*Assumptions!C19</f>
        <v>138.6</v>
      </c>
      <c r="O11" s="43" t="n">
        <f aca="false">O7*Assumptions!C19</f>
        <v>180.251510409472</v>
      </c>
      <c r="P11" s="43" t="n">
        <f aca="false">P7*Assumptions!C19</f>
        <v>234.419963960289</v>
      </c>
      <c r="Q11" s="43" t="n">
        <f aca="false">Q7*Assumptions!C19</f>
        <v>304.866901688139</v>
      </c>
      <c r="R11" s="43" t="n">
        <f aca="false">R7*Assumptions!C19</f>
        <v>396.484267699445</v>
      </c>
      <c r="S11" s="43" t="n">
        <f aca="false">S7*Assumptions!C19</f>
        <v>515.634113321922</v>
      </c>
      <c r="T11" s="43" t="n">
        <f aca="false">T7*Assumptions!C19</f>
        <v>670.590387770025</v>
      </c>
      <c r="U11" s="43" t="n">
        <f aca="false">U7*Assumptions!C19</f>
        <v>872.113493951086</v>
      </c>
      <c r="V11" s="43" t="n">
        <f aca="false">V7*Assumptions!C19</f>
        <v>1134.19750745429</v>
      </c>
      <c r="W11" s="43" t="n">
        <f aca="false">W7*Assumptions!C19</f>
        <v>1475.04194676259</v>
      </c>
      <c r="X11" s="43" t="n">
        <f aca="false">X7*Assumptions!C19</f>
        <v>1918.31557591115</v>
      </c>
      <c r="Y11" s="43" t="n">
        <f aca="false">Y7*Assumptions!C19</f>
        <v>2494.8</v>
      </c>
      <c r="Z11" s="44" t="n">
        <f aca="false">Z7*Assumptions!D19</f>
        <v>2772</v>
      </c>
      <c r="AA11" s="43" t="n">
        <f aca="false">AA7*Assumptions!D19</f>
        <v>2903.76384887283</v>
      </c>
      <c r="AB11" s="43" t="n">
        <f aca="false">AB7*Assumptions!D19</f>
        <v>3041.79094156593</v>
      </c>
      <c r="AC11" s="43" t="n">
        <f aca="false">AC7*Assumptions!D19</f>
        <v>3186.37899420924</v>
      </c>
      <c r="AD11" s="43" t="n">
        <f aca="false">AD7*Assumptions!D19</f>
        <v>3337.83987452834</v>
      </c>
      <c r="AE11" s="43" t="n">
        <f aca="false">AE7*Assumptions!D19</f>
        <v>3496.50027452439</v>
      </c>
      <c r="AF11" s="43" t="n">
        <f aca="false">AF7*Assumptions!D19</f>
        <v>3662.70241512909</v>
      </c>
      <c r="AG11" s="43" t="n">
        <f aca="false">AG7*Assumptions!D19</f>
        <v>3836.80478435464</v>
      </c>
      <c r="AH11" s="43" t="n">
        <f aca="false">AH7*Assumptions!D19</f>
        <v>4019.18291053078</v>
      </c>
      <c r="AI11" s="43" t="n">
        <f aca="false">AI7*Assumptions!D19</f>
        <v>4210.23017229681</v>
      </c>
      <c r="AJ11" s="43" t="n">
        <f aca="false">AJ7*Assumptions!D19</f>
        <v>4410.35864709564</v>
      </c>
      <c r="AK11" s="43" t="n">
        <f aca="false">AK7*Assumptions!D19</f>
        <v>4620</v>
      </c>
      <c r="AL11" s="44" t="n">
        <f aca="false">M11</f>
        <v>115.5</v>
      </c>
      <c r="AM11" s="43" t="n">
        <f aca="false">Y11</f>
        <v>2494.8</v>
      </c>
      <c r="AN11" s="43" t="n">
        <f aca="false">AK11</f>
        <v>4620</v>
      </c>
    </row>
    <row r="12" customFormat="false" ht="14.25" hidden="false" customHeight="false" outlineLevel="0" collapsed="false">
      <c r="N12" s="41"/>
      <c r="Z12" s="41"/>
      <c r="AL12" s="41"/>
    </row>
    <row r="13" customFormat="false" ht="14.25" hidden="false" customHeight="false" outlineLevel="0" collapsed="false">
      <c r="A13" s="49" t="s">
        <v>149</v>
      </c>
      <c r="B13" s="43" t="n">
        <f aca="false">B11*Assumptions!B20</f>
        <v>20.25</v>
      </c>
      <c r="C13" s="43" t="n">
        <f aca="false">C11*Assumptions!B20</f>
        <v>21.060678854653</v>
      </c>
      <c r="D13" s="43" t="n">
        <f aca="false">D11*Assumptions!B20</f>
        <v>21.903812040436</v>
      </c>
      <c r="E13" s="43" t="n">
        <f aca="false">E11*Assumptions!B20</f>
        <v>22.780698818583</v>
      </c>
      <c r="F13" s="43" t="n">
        <f aca="false">F11*Assumptions!B20</f>
        <v>23.6926904643333</v>
      </c>
      <c r="G13" s="43" t="n">
        <f aca="false">G11*Assumptions!B20</f>
        <v>24.6411923492358</v>
      </c>
      <c r="H13" s="43" t="n">
        <f aca="false">H11*Assumptions!B20</f>
        <v>25.6276661068142</v>
      </c>
      <c r="I13" s="43" t="n">
        <f aca="false">I11*Assumptions!B20</f>
        <v>26.6536318849329</v>
      </c>
      <c r="J13" s="43" t="n">
        <f aca="false">J11*Assumptions!B20</f>
        <v>27.7206706883315</v>
      </c>
      <c r="K13" s="43" t="n">
        <f aca="false">K11*Assumptions!B20</f>
        <v>28.8304268149404</v>
      </c>
      <c r="L13" s="43" t="n">
        <f aca="false">L11*Assumptions!B20</f>
        <v>29.9846103897302</v>
      </c>
      <c r="M13" s="43" t="n">
        <f aca="false">M11*Assumptions!B20</f>
        <v>31.185</v>
      </c>
      <c r="N13" s="44" t="n">
        <f aca="false">N11*Assumptions!B20</f>
        <v>37.422</v>
      </c>
      <c r="O13" s="43" t="n">
        <f aca="false">O11*Assumptions!B20</f>
        <v>48.6679078105575</v>
      </c>
      <c r="P13" s="43" t="n">
        <f aca="false">P11*Assumptions!B20</f>
        <v>63.293390269278</v>
      </c>
      <c r="Q13" s="43" t="n">
        <f aca="false">Q11*Assumptions!B20</f>
        <v>82.3140634557976</v>
      </c>
      <c r="R13" s="43" t="n">
        <f aca="false">R11*Assumptions!B20</f>
        <v>107.05075227885</v>
      </c>
      <c r="S13" s="43" t="n">
        <f aca="false">S11*Assumptions!B20</f>
        <v>139.221210596919</v>
      </c>
      <c r="T13" s="43" t="n">
        <f aca="false">T11*Assumptions!B20</f>
        <v>181.059404697907</v>
      </c>
      <c r="U13" s="43" t="n">
        <f aca="false">U11*Assumptions!B20</f>
        <v>235.470643366793</v>
      </c>
      <c r="V13" s="43" t="n">
        <f aca="false">V11*Assumptions!B20</f>
        <v>306.233327012659</v>
      </c>
      <c r="W13" s="43" t="n">
        <f aca="false">W11*Assumptions!B20</f>
        <v>398.261325625899</v>
      </c>
      <c r="X13" s="43" t="n">
        <f aca="false">X11*Assumptions!B20</f>
        <v>517.94520549601</v>
      </c>
      <c r="Y13" s="43" t="n">
        <f aca="false">Y11*Assumptions!B20</f>
        <v>673.596000000001</v>
      </c>
      <c r="Z13" s="44" t="n">
        <f aca="false">Z11*Assumptions!B20</f>
        <v>748.440000000001</v>
      </c>
      <c r="AA13" s="43" t="n">
        <f aca="false">AA11*Assumptions!B20</f>
        <v>784.016239195665</v>
      </c>
      <c r="AB13" s="43" t="n">
        <f aca="false">AB11*Assumptions!B20</f>
        <v>821.283554222802</v>
      </c>
      <c r="AC13" s="43" t="n">
        <f aca="false">AC11*Assumptions!B20</f>
        <v>860.322328436494</v>
      </c>
      <c r="AD13" s="43" t="n">
        <f aca="false">AD11*Assumptions!B20</f>
        <v>901.216766122651</v>
      </c>
      <c r="AE13" s="43" t="n">
        <f aca="false">AE11*Assumptions!B20</f>
        <v>944.055074121585</v>
      </c>
      <c r="AF13" s="43" t="n">
        <f aca="false">AF11*Assumptions!B20</f>
        <v>988.929652084856</v>
      </c>
      <c r="AG13" s="43" t="n">
        <f aca="false">AG11*Assumptions!B20</f>
        <v>1035.93729177575</v>
      </c>
      <c r="AH13" s="43" t="n">
        <f aca="false">AH11*Assumptions!B20</f>
        <v>1085.17938584331</v>
      </c>
      <c r="AI13" s="43" t="n">
        <f aca="false">AI11*Assumptions!B20</f>
        <v>1136.76214652014</v>
      </c>
      <c r="AJ13" s="43" t="n">
        <f aca="false">AJ11*Assumptions!B20</f>
        <v>1190.79683471582</v>
      </c>
      <c r="AK13" s="43" t="n">
        <f aca="false">AK11*Assumptions!B20</f>
        <v>1247.4</v>
      </c>
      <c r="AL13" s="44" t="n">
        <f aca="false">SUM(B13:M13)</f>
        <v>304.33107841199</v>
      </c>
      <c r="AM13" s="43" t="n">
        <f aca="false">SUM(N13:Y13)</f>
        <v>2790.53523061067</v>
      </c>
      <c r="AN13" s="43" t="n">
        <f aca="false">SUM(Z13:AK13)</f>
        <v>11744.3392730391</v>
      </c>
    </row>
    <row r="14" customFormat="false" ht="14.25" hidden="false" customHeight="false" outlineLevel="0" collapsed="false">
      <c r="A14" s="50" t="s">
        <v>150</v>
      </c>
      <c r="B14" s="43" t="n">
        <f aca="false">B13*Assumptions!B21</f>
        <v>15.1875</v>
      </c>
      <c r="C14" s="43" t="n">
        <f aca="false">C13*Assumptions!B21</f>
        <v>15.7955091409898</v>
      </c>
      <c r="D14" s="43" t="n">
        <f aca="false">D13*Assumptions!B21</f>
        <v>16.427859030327</v>
      </c>
      <c r="E14" s="43" t="n">
        <f aca="false">E13*Assumptions!B21</f>
        <v>17.0855241139372</v>
      </c>
      <c r="F14" s="43" t="n">
        <f aca="false">F13*Assumptions!B21</f>
        <v>17.76951784825</v>
      </c>
      <c r="G14" s="43" t="n">
        <f aca="false">G13*Assumptions!B21</f>
        <v>18.4808942619268</v>
      </c>
      <c r="H14" s="43" t="n">
        <f aca="false">H13*Assumptions!B21</f>
        <v>19.2207495801107</v>
      </c>
      <c r="I14" s="43" t="n">
        <f aca="false">I13*Assumptions!B21</f>
        <v>19.9902239136997</v>
      </c>
      <c r="J14" s="43" t="n">
        <f aca="false">J13*Assumptions!B21</f>
        <v>20.7905030162486</v>
      </c>
      <c r="K14" s="43" t="n">
        <f aca="false">K13*Assumptions!B21</f>
        <v>21.6228201112053</v>
      </c>
      <c r="L14" s="43" t="n">
        <f aca="false">L13*Assumptions!B21</f>
        <v>22.4884577922977</v>
      </c>
      <c r="M14" s="43" t="n">
        <f aca="false">M13*Assumptions!B21</f>
        <v>23.38875</v>
      </c>
      <c r="N14" s="44" t="n">
        <f aca="false">N13*Assumptions!C21</f>
        <v>22.4532</v>
      </c>
      <c r="O14" s="43" t="n">
        <f aca="false">O13*Assumptions!C21</f>
        <v>29.2007446863345</v>
      </c>
      <c r="P14" s="43" t="n">
        <f aca="false">P13*Assumptions!C21</f>
        <v>37.9760341615668</v>
      </c>
      <c r="Q14" s="43" t="n">
        <f aca="false">Q13*Assumptions!C21</f>
        <v>49.3884380734785</v>
      </c>
      <c r="R14" s="43" t="n">
        <f aca="false">R13*Assumptions!C21</f>
        <v>64.2304513673101</v>
      </c>
      <c r="S14" s="43" t="n">
        <f aca="false">S13*Assumptions!C21</f>
        <v>83.5327263581514</v>
      </c>
      <c r="T14" s="43" t="n">
        <f aca="false">T13*Assumptions!C21</f>
        <v>108.635642818744</v>
      </c>
      <c r="U14" s="43" t="n">
        <f aca="false">U13*Assumptions!C21</f>
        <v>141.282386020076</v>
      </c>
      <c r="V14" s="43" t="n">
        <f aca="false">V13*Assumptions!C21</f>
        <v>183.739996207596</v>
      </c>
      <c r="W14" s="43" t="n">
        <f aca="false">W13*Assumptions!C21</f>
        <v>238.95679537554</v>
      </c>
      <c r="X14" s="43" t="n">
        <f aca="false">X13*Assumptions!C21</f>
        <v>310.767123297606</v>
      </c>
      <c r="Y14" s="43" t="n">
        <f aca="false">Y13*Assumptions!C21</f>
        <v>404.157600000001</v>
      </c>
      <c r="Z14" s="44" t="n">
        <f aca="false">Z13*Assumptions!D21</f>
        <v>374.220000000001</v>
      </c>
      <c r="AA14" s="43" t="n">
        <f aca="false">AA13*Assumptions!D21</f>
        <v>392.008119597833</v>
      </c>
      <c r="AB14" s="43" t="n">
        <f aca="false">AB13*Assumptions!D21</f>
        <v>410.641777111401</v>
      </c>
      <c r="AC14" s="43" t="n">
        <f aca="false">AC13*Assumptions!D21</f>
        <v>430.161164218247</v>
      </c>
      <c r="AD14" s="43" t="n">
        <f aca="false">AD13*Assumptions!D21</f>
        <v>450.608383061326</v>
      </c>
      <c r="AE14" s="43" t="n">
        <f aca="false">AE13*Assumptions!D21</f>
        <v>472.027537060793</v>
      </c>
      <c r="AF14" s="43" t="n">
        <f aca="false">AF13*Assumptions!D21</f>
        <v>494.464826042428</v>
      </c>
      <c r="AG14" s="43" t="n">
        <f aca="false">AG13*Assumptions!D21</f>
        <v>517.968645887877</v>
      </c>
      <c r="AH14" s="43" t="n">
        <f aca="false">AH13*Assumptions!D21</f>
        <v>542.589692921656</v>
      </c>
      <c r="AI14" s="43" t="n">
        <f aca="false">AI13*Assumptions!D21</f>
        <v>568.38107326007</v>
      </c>
      <c r="AJ14" s="43" t="n">
        <f aca="false">AJ13*Assumptions!D21</f>
        <v>595.398417357912</v>
      </c>
      <c r="AK14" s="43" t="n">
        <f aca="false">AK13*Assumptions!D21</f>
        <v>623.7</v>
      </c>
      <c r="AL14" s="44" t="n">
        <f aca="false">SUM(B14:M14)</f>
        <v>228.248308808993</v>
      </c>
      <c r="AM14" s="43" t="n">
        <f aca="false">SUM(N14:Y14)</f>
        <v>1674.3211383664</v>
      </c>
      <c r="AN14" s="43" t="n">
        <f aca="false">SUM(Z14:AK14)</f>
        <v>5872.16963651954</v>
      </c>
    </row>
    <row r="15" customFormat="false" ht="14.25" hidden="false" customHeight="false" outlineLevel="0" collapsed="false">
      <c r="A15" s="50" t="s">
        <v>151</v>
      </c>
      <c r="B15" s="43" t="n">
        <f aca="false">B13-B14</f>
        <v>5.0625</v>
      </c>
      <c r="C15" s="43" t="n">
        <f aca="false">C13-C14</f>
        <v>5.26516971366326</v>
      </c>
      <c r="D15" s="43" t="n">
        <f aca="false">D13-D14</f>
        <v>5.47595301010901</v>
      </c>
      <c r="E15" s="43" t="n">
        <f aca="false">E13-E14</f>
        <v>5.69517470464575</v>
      </c>
      <c r="F15" s="43" t="n">
        <f aca="false">F13-F14</f>
        <v>5.92317261608334</v>
      </c>
      <c r="G15" s="43" t="n">
        <f aca="false">G13-G14</f>
        <v>6.16029808730895</v>
      </c>
      <c r="H15" s="43" t="n">
        <f aca="false">H13-H14</f>
        <v>6.40691652670356</v>
      </c>
      <c r="I15" s="43" t="n">
        <f aca="false">I13-I14</f>
        <v>6.66340797123322</v>
      </c>
      <c r="J15" s="43" t="n">
        <f aca="false">J13-J14</f>
        <v>6.93016767208287</v>
      </c>
      <c r="K15" s="43" t="n">
        <f aca="false">K13-K14</f>
        <v>7.2076067037351</v>
      </c>
      <c r="L15" s="43" t="n">
        <f aca="false">L13-L14</f>
        <v>7.49615259743255</v>
      </c>
      <c r="M15" s="43" t="n">
        <f aca="false">M13-M14</f>
        <v>7.79625000000001</v>
      </c>
      <c r="N15" s="44" t="n">
        <f aca="false">N13-N14</f>
        <v>14.9688</v>
      </c>
      <c r="O15" s="43" t="n">
        <f aca="false">O13-O14</f>
        <v>19.467163124223</v>
      </c>
      <c r="P15" s="43" t="n">
        <f aca="false">P13-P14</f>
        <v>25.3173561077112</v>
      </c>
      <c r="Q15" s="43" t="n">
        <f aca="false">Q13-Q14</f>
        <v>32.925625382319</v>
      </c>
      <c r="R15" s="43" t="n">
        <f aca="false">R13-R14</f>
        <v>42.8203009115401</v>
      </c>
      <c r="S15" s="43" t="n">
        <f aca="false">S13-S14</f>
        <v>55.6884842387676</v>
      </c>
      <c r="T15" s="43" t="n">
        <f aca="false">T13-T14</f>
        <v>72.4237618791627</v>
      </c>
      <c r="U15" s="43" t="n">
        <f aca="false">U13-U14</f>
        <v>94.1882573467173</v>
      </c>
      <c r="V15" s="43" t="n">
        <f aca="false">V13-V14</f>
        <v>122.493330805064</v>
      </c>
      <c r="W15" s="43" t="n">
        <f aca="false">W13-W14</f>
        <v>159.30453025036</v>
      </c>
      <c r="X15" s="43" t="n">
        <f aca="false">X13-X14</f>
        <v>207.178082198404</v>
      </c>
      <c r="Y15" s="43" t="n">
        <f aca="false">Y13-Y14</f>
        <v>269.4384</v>
      </c>
      <c r="Z15" s="44" t="n">
        <f aca="false">Z13-Z14</f>
        <v>374.220000000001</v>
      </c>
      <c r="AA15" s="43" t="n">
        <f aca="false">AA13-AA14</f>
        <v>392.008119597833</v>
      </c>
      <c r="AB15" s="43" t="n">
        <f aca="false">AB13-AB14</f>
        <v>410.641777111401</v>
      </c>
      <c r="AC15" s="43" t="n">
        <f aca="false">AC13-AC14</f>
        <v>430.161164218247</v>
      </c>
      <c r="AD15" s="43" t="n">
        <f aca="false">AD13-AD14</f>
        <v>450.608383061326</v>
      </c>
      <c r="AE15" s="43" t="n">
        <f aca="false">AE13-AE14</f>
        <v>472.027537060793</v>
      </c>
      <c r="AF15" s="43" t="n">
        <f aca="false">AF13-AF14</f>
        <v>494.464826042428</v>
      </c>
      <c r="AG15" s="43" t="n">
        <f aca="false">AG13-AG14</f>
        <v>517.968645887877</v>
      </c>
      <c r="AH15" s="43" t="n">
        <f aca="false">AH13-AH14</f>
        <v>542.589692921656</v>
      </c>
      <c r="AI15" s="43" t="n">
        <f aca="false">AI13-AI14</f>
        <v>568.38107326007</v>
      </c>
      <c r="AJ15" s="43" t="n">
        <f aca="false">AJ13-AJ14</f>
        <v>595.398417357912</v>
      </c>
      <c r="AK15" s="43" t="n">
        <f aca="false">AK13-AK14</f>
        <v>623.7</v>
      </c>
      <c r="AL15" s="44" t="n">
        <f aca="false">SUM(B15:M15)</f>
        <v>76.0827696029976</v>
      </c>
      <c r="AM15" s="43" t="n">
        <f aca="false">SUM(N15:Y15)</f>
        <v>1116.21409224427</v>
      </c>
      <c r="AN15" s="43" t="n">
        <f aca="false">SUM(Z15:AK15)</f>
        <v>5872.16963651954</v>
      </c>
    </row>
    <row r="16" customFormat="false" ht="14.25" hidden="false" customHeight="false" outlineLevel="0" collapsed="false">
      <c r="N16" s="41"/>
      <c r="Z16" s="41"/>
      <c r="AL16" s="41"/>
    </row>
    <row r="17" customFormat="false" ht="14.25" hidden="false" customHeight="false" outlineLevel="0" collapsed="false">
      <c r="A17" s="49" t="s">
        <v>152</v>
      </c>
      <c r="B17" s="43" t="n">
        <f aca="false">Assumptions!B24</f>
        <v>5</v>
      </c>
      <c r="C17" s="43" t="n">
        <f aca="false">B17*(1+Assumptions!B27)</f>
        <v>5.39542473833767</v>
      </c>
      <c r="D17" s="43" t="n">
        <f aca="false">C17*(1+Assumptions!B27)</f>
        <v>5.82212162141322</v>
      </c>
      <c r="E17" s="43" t="n">
        <f aca="false">D17*(1+Assumptions!B27)</f>
        <v>6.28256380515669</v>
      </c>
      <c r="F17" s="43" t="n">
        <f aca="false">E17*(1+Assumptions!B27)</f>
        <v>6.77942003490545</v>
      </c>
      <c r="G17" s="43" t="n">
        <f aca="false">F17*(1+Assumptions!B27)</f>
        <v>7.31557011358217</v>
      </c>
      <c r="H17" s="43" t="n">
        <f aca="false">G17*(1+Assumptions!B27)</f>
        <v>7.89412159317299</v>
      </c>
      <c r="I17" s="43" t="n">
        <f aca="false">H17*(1+Assumptions!B27)</f>
        <v>8.51842778625022</v>
      </c>
      <c r="J17" s="43" t="n">
        <f aca="false">I17*(1+Assumptions!B27)</f>
        <v>9.19210720193548</v>
      </c>
      <c r="K17" s="43" t="n">
        <f aca="false">J17*(1+Assumptions!B27)</f>
        <v>9.9190645189549</v>
      </c>
      <c r="L17" s="43" t="n">
        <f aca="false">K17*(1+Assumptions!B27)</f>
        <v>10.7035132173473</v>
      </c>
      <c r="M17" s="43" t="n">
        <f aca="false">L17*(1+Assumptions!B27)</f>
        <v>11.55</v>
      </c>
      <c r="N17" s="44" t="n">
        <f aca="false">M17</f>
        <v>11.55</v>
      </c>
      <c r="O17" s="43" t="n">
        <f aca="false">N17*(1+Assumptions!C27)</f>
        <v>15.5272396739971</v>
      </c>
      <c r="P17" s="43" t="n">
        <f aca="false">O17*(1+Assumptions!C27)</f>
        <v>20.8740408566016</v>
      </c>
      <c r="Q17" s="43" t="n">
        <f aca="false">P17*(1+Assumptions!C27)</f>
        <v>28.0620117182044</v>
      </c>
      <c r="R17" s="43" t="n">
        <f aca="false">Q17*(1+Assumptions!C27)</f>
        <v>37.7251585872791</v>
      </c>
      <c r="S17" s="43" t="n">
        <f aca="false">R17*(1+Assumptions!C27)</f>
        <v>50.7158077163837</v>
      </c>
      <c r="T17" s="43" t="n">
        <f aca="false">S17*(1+Assumptions!C27)</f>
        <v>68.1797836946008</v>
      </c>
      <c r="U17" s="43" t="n">
        <f aca="false">T17*(1+Assumptions!C27)</f>
        <v>91.6574755279086</v>
      </c>
      <c r="V17" s="43" t="n">
        <f aca="false">U17*(1+Assumptions!C27)</f>
        <v>123.219704799598</v>
      </c>
      <c r="W17" s="43" t="n">
        <f aca="false">V17*(1+Assumptions!C27)</f>
        <v>165.650379998487</v>
      </c>
      <c r="X17" s="43" t="n">
        <f aca="false">W17*(1+Assumptions!C27)</f>
        <v>222.692047820364</v>
      </c>
      <c r="Y17" s="43" t="n">
        <f aca="false">X17*(1+Assumptions!C27)</f>
        <v>299.376</v>
      </c>
      <c r="Z17" s="44" t="n">
        <f aca="false">Y17</f>
        <v>299.376</v>
      </c>
      <c r="AA17" s="43" t="n">
        <f aca="false">Z17*(1+Assumptions!D27)</f>
        <v>318.937079379759</v>
      </c>
      <c r="AB17" s="43" t="n">
        <f aca="false">AA17*(1+Assumptions!D27)</f>
        <v>339.776269985872</v>
      </c>
      <c r="AC17" s="43" t="n">
        <f aca="false">AB17*(1+Assumptions!D27)</f>
        <v>361.977082972057</v>
      </c>
      <c r="AD17" s="43" t="n">
        <f aca="false">AC17*(1+Assumptions!D27)</f>
        <v>385.628486069399</v>
      </c>
      <c r="AE17" s="43" t="n">
        <f aca="false">AD17*(1+Assumptions!D27)</f>
        <v>410.825260116415</v>
      </c>
      <c r="AF17" s="43" t="n">
        <f aca="false">AE17*(1+Assumptions!D27)</f>
        <v>437.668378884611</v>
      </c>
      <c r="AG17" s="43" t="n">
        <f aca="false">AF17*(1+Assumptions!D27)</f>
        <v>466.265413721645</v>
      </c>
      <c r="AH17" s="43" t="n">
        <f aca="false">AG17*(1+Assumptions!D27)</f>
        <v>496.730964633693</v>
      </c>
      <c r="AI17" s="43" t="n">
        <f aca="false">AH17*(1+Assumptions!D27)</f>
        <v>529.187119534499</v>
      </c>
      <c r="AJ17" s="43" t="n">
        <f aca="false">AI17*(1+Assumptions!D27)</f>
        <v>563.763943501551</v>
      </c>
      <c r="AK17" s="43" t="n">
        <f aca="false">AJ17*(1+Assumptions!D27)</f>
        <v>600.6</v>
      </c>
      <c r="AL17" s="44" t="n">
        <f aca="false">M17</f>
        <v>11.55</v>
      </c>
      <c r="AM17" s="43" t="n">
        <f aca="false">Y17</f>
        <v>299.376</v>
      </c>
      <c r="AN17" s="43" t="n">
        <f aca="false">AK17</f>
        <v>600.6</v>
      </c>
    </row>
    <row r="18" customFormat="false" ht="14.25" hidden="false" customHeight="false" outlineLevel="0" collapsed="false">
      <c r="A18" s="50" t="s">
        <v>153</v>
      </c>
      <c r="B18" s="43" t="n">
        <f aca="false">B17</f>
        <v>5</v>
      </c>
      <c r="C18" s="43" t="n">
        <f aca="false">C17-B17*(1-Assumptions!B62)</f>
        <v>0.595424738337667</v>
      </c>
      <c r="D18" s="43" t="n">
        <f aca="false">D17-C17*(1-Assumptions!B62)</f>
        <v>0.642513872609055</v>
      </c>
      <c r="E18" s="43" t="n">
        <f aca="false">E17-D17*(1-Assumptions!B62)</f>
        <v>0.693327048600007</v>
      </c>
      <c r="F18" s="43" t="n">
        <f aca="false">F17-E17*(1-Assumptions!B62)</f>
        <v>0.748158781955024</v>
      </c>
      <c r="G18" s="43" t="n">
        <f aca="false">G17-F17*(1-Assumptions!B62)</f>
        <v>0.807326880072942</v>
      </c>
      <c r="H18" s="43" t="n">
        <f aca="false">H17-G17*(1-Assumptions!B62)</f>
        <v>0.871174284134104</v>
      </c>
      <c r="I18" s="43" t="n">
        <f aca="false">I17-H17*(1-Assumptions!B62)</f>
        <v>0.94007105680415</v>
      </c>
      <c r="J18" s="43" t="n">
        <f aca="false">J17-I17*(1-Assumptions!B62)</f>
        <v>1.01441652713527</v>
      </c>
      <c r="K18" s="43" t="n">
        <f aca="false">K17-J17*(1-Assumptions!B62)</f>
        <v>1.09464160509684</v>
      </c>
      <c r="L18" s="43" t="n">
        <f aca="false">L17-K17*(1-Assumptions!B62)</f>
        <v>1.18121127915063</v>
      </c>
      <c r="M18" s="43" t="n">
        <f aca="false">M17-L17*(1-Assumptions!B62)</f>
        <v>1.27462731134656</v>
      </c>
      <c r="N18" s="44" t="n">
        <f aca="false">N17-M17*(1-Assumptions!B62)</f>
        <v>0.462</v>
      </c>
      <c r="O18" s="43" t="n">
        <f aca="false">O17-N17*(1-Assumptions!B62)</f>
        <v>4.43923967399707</v>
      </c>
      <c r="P18" s="43" t="n">
        <f aca="false">P17-O17*(1-Assumptions!B62)</f>
        <v>5.96789076956443</v>
      </c>
      <c r="Q18" s="43" t="n">
        <f aca="false">Q17-P17*(1-Assumptions!B62)</f>
        <v>8.02293249586682</v>
      </c>
      <c r="R18" s="43" t="n">
        <f aca="false">R17-Q17*(1-Assumptions!B62)</f>
        <v>10.7856273378029</v>
      </c>
      <c r="S18" s="43" t="n">
        <f aca="false">S17-R17*(1-Assumptions!B62)</f>
        <v>14.4996554725957</v>
      </c>
      <c r="T18" s="43" t="n">
        <f aca="false">T17-S17*(1-Assumptions!B62)</f>
        <v>19.4926082868725</v>
      </c>
      <c r="U18" s="43" t="n">
        <f aca="false">U17-T17*(1-Assumptions!B62)</f>
        <v>26.2048831810918</v>
      </c>
      <c r="V18" s="43" t="n">
        <f aca="false">V17-U17*(1-Assumptions!B62)</f>
        <v>35.2285282928058</v>
      </c>
      <c r="W18" s="43" t="n">
        <f aca="false">W17-V17*(1-Assumptions!B62)</f>
        <v>47.359463390873</v>
      </c>
      <c r="X18" s="43" t="n">
        <f aca="false">X17-W17*(1-Assumptions!B62)</f>
        <v>63.667683021816</v>
      </c>
      <c r="Y18" s="43" t="n">
        <f aca="false">Y17-X17*(1-Assumptions!B62)</f>
        <v>85.5916340924512</v>
      </c>
      <c r="Z18" s="44" t="n">
        <f aca="false">Z17-Y17*(1-Assumptions!B62)</f>
        <v>11.97504</v>
      </c>
      <c r="AA18" s="43" t="n">
        <f aca="false">AA17-Z17*(1-Assumptions!B62)</f>
        <v>31.5361193797586</v>
      </c>
      <c r="AB18" s="43" t="n">
        <f aca="false">AB17-AA17*(1-Assumptions!B62)</f>
        <v>33.5966737813039</v>
      </c>
      <c r="AC18" s="43" t="n">
        <f aca="false">AC17-AB17*(1-Assumptions!B62)</f>
        <v>35.7918637856193</v>
      </c>
      <c r="AD18" s="43" t="n">
        <f aca="false">AD17-AC17*(1-Assumptions!B62)</f>
        <v>38.1304864162243</v>
      </c>
      <c r="AE18" s="43" t="n">
        <f aca="false">AE17-AD17*(1-Assumptions!B62)</f>
        <v>40.6219134897926</v>
      </c>
      <c r="AF18" s="43" t="n">
        <f aca="false">AF17-AE17*(1-Assumptions!B62)</f>
        <v>43.2761291728518</v>
      </c>
      <c r="AG18" s="43" t="n">
        <f aca="false">AG17-AF17*(1-Assumptions!B62)</f>
        <v>46.1037699924192</v>
      </c>
      <c r="AH18" s="43" t="n">
        <f aca="false">AH17-AG17*(1-Assumptions!B62)</f>
        <v>49.1161674609132</v>
      </c>
      <c r="AI18" s="43" t="n">
        <f aca="false">AI17-AH17*(1-Assumptions!B62)</f>
        <v>52.3253934861538</v>
      </c>
      <c r="AJ18" s="43" t="n">
        <f aca="false">AJ17-AI17*(1-Assumptions!B62)</f>
        <v>55.7443087484319</v>
      </c>
      <c r="AK18" s="43" t="n">
        <f aca="false">AK17-AJ17*(1-Assumptions!B62)</f>
        <v>59.3866142385108</v>
      </c>
      <c r="AL18" s="44" t="n">
        <f aca="false">SUM(B18:M18)</f>
        <v>14.8628933852423</v>
      </c>
      <c r="AM18" s="43" t="n">
        <f aca="false">SUM(N18:Y18)</f>
        <v>321.722146015737</v>
      </c>
      <c r="AN18" s="43" t="n">
        <f aca="false">SUM(Z18:AK18)</f>
        <v>497.60447995198</v>
      </c>
    </row>
    <row r="19" customFormat="false" ht="14.25" hidden="false" customHeight="false" outlineLevel="0" collapsed="false">
      <c r="A19" s="45" t="s">
        <v>154</v>
      </c>
      <c r="B19" s="43" t="n">
        <f aca="false">B17*Assumptions!B51</f>
        <v>2.5</v>
      </c>
      <c r="C19" s="43" t="n">
        <f aca="false">C17*Assumptions!B51</f>
        <v>2.69771236916883</v>
      </c>
      <c r="D19" s="43" t="n">
        <f aca="false">D17*Assumptions!B51</f>
        <v>2.91106081070661</v>
      </c>
      <c r="E19" s="43" t="n">
        <f aca="false">E17*Assumptions!B51</f>
        <v>3.14128190257835</v>
      </c>
      <c r="F19" s="43" t="n">
        <f aca="false">F17*Assumptions!B51</f>
        <v>3.38971001745272</v>
      </c>
      <c r="G19" s="43" t="n">
        <f aca="false">G17*Assumptions!B51</f>
        <v>3.65778505679109</v>
      </c>
      <c r="H19" s="43" t="n">
        <f aca="false">H17*Assumptions!B51</f>
        <v>3.94706079658649</v>
      </c>
      <c r="I19" s="43" t="n">
        <f aca="false">I17*Assumptions!B51</f>
        <v>4.25921389312511</v>
      </c>
      <c r="J19" s="43" t="n">
        <f aca="false">J17*Assumptions!B51</f>
        <v>4.59605360096774</v>
      </c>
      <c r="K19" s="43" t="n">
        <f aca="false">K17*Assumptions!B51</f>
        <v>4.95953225947745</v>
      </c>
      <c r="L19" s="43" t="n">
        <f aca="false">L17*Assumptions!B51</f>
        <v>5.35175660867367</v>
      </c>
      <c r="M19" s="43" t="n">
        <f aca="false">M17*Assumptions!B51</f>
        <v>5.775</v>
      </c>
      <c r="N19" s="44" t="n">
        <f aca="false">N17*Assumptions!B51</f>
        <v>5.775</v>
      </c>
      <c r="O19" s="43" t="n">
        <f aca="false">O17*Assumptions!B51</f>
        <v>7.76361983699854</v>
      </c>
      <c r="P19" s="43" t="n">
        <f aca="false">P17*Assumptions!B51</f>
        <v>10.4370204283008</v>
      </c>
      <c r="Q19" s="43" t="n">
        <f aca="false">Q17*Assumptions!B51</f>
        <v>14.0310058591022</v>
      </c>
      <c r="R19" s="43" t="n">
        <f aca="false">R17*Assumptions!B51</f>
        <v>18.8625792936396</v>
      </c>
      <c r="S19" s="43" t="n">
        <f aca="false">S17*Assumptions!B51</f>
        <v>25.3579038581918</v>
      </c>
      <c r="T19" s="43" t="n">
        <f aca="false">T17*Assumptions!B51</f>
        <v>34.0898918473004</v>
      </c>
      <c r="U19" s="43" t="n">
        <f aca="false">U17*Assumptions!B51</f>
        <v>45.8287377639543</v>
      </c>
      <c r="V19" s="43" t="n">
        <f aca="false">V17*Assumptions!B51</f>
        <v>61.609852399799</v>
      </c>
      <c r="W19" s="43" t="n">
        <f aca="false">W17*Assumptions!B51</f>
        <v>82.8251899992436</v>
      </c>
      <c r="X19" s="43" t="n">
        <f aca="false">X17*Assumptions!B51</f>
        <v>111.346023910182</v>
      </c>
      <c r="Y19" s="43" t="n">
        <f aca="false">Y17*Assumptions!B51</f>
        <v>149.688</v>
      </c>
      <c r="Z19" s="44" t="n">
        <f aca="false">Z17*Assumptions!B51</f>
        <v>149.688</v>
      </c>
      <c r="AA19" s="43" t="n">
        <f aca="false">AA17*Assumptions!B51</f>
        <v>159.468539689879</v>
      </c>
      <c r="AB19" s="43" t="n">
        <f aca="false">AB17*Assumptions!B51</f>
        <v>169.888134992936</v>
      </c>
      <c r="AC19" s="43" t="n">
        <f aca="false">AC17*Assumptions!B51</f>
        <v>180.988541486028</v>
      </c>
      <c r="AD19" s="43" t="n">
        <f aca="false">AD17*Assumptions!B51</f>
        <v>192.814243034699</v>
      </c>
      <c r="AE19" s="43" t="n">
        <f aca="false">AE17*Assumptions!B51</f>
        <v>205.412630058208</v>
      </c>
      <c r="AF19" s="43" t="n">
        <f aca="false">AF17*Assumptions!B51</f>
        <v>218.834189442305</v>
      </c>
      <c r="AG19" s="43" t="n">
        <f aca="false">AG17*Assumptions!B51</f>
        <v>233.132706860823</v>
      </c>
      <c r="AH19" s="43" t="n">
        <f aca="false">AH17*Assumptions!B51</f>
        <v>248.365482316846</v>
      </c>
      <c r="AI19" s="43" t="n">
        <f aca="false">AI17*Assumptions!B51</f>
        <v>264.593559767249</v>
      </c>
      <c r="AJ19" s="43" t="n">
        <f aca="false">AJ17*Assumptions!B51</f>
        <v>281.881971750775</v>
      </c>
      <c r="AK19" s="43" t="n">
        <f aca="false">AK17*Assumptions!B51</f>
        <v>300.3</v>
      </c>
      <c r="AL19" s="44" t="n">
        <f aca="false">M19</f>
        <v>5.775</v>
      </c>
      <c r="AM19" s="43" t="n">
        <f aca="false">Y19</f>
        <v>149.688</v>
      </c>
      <c r="AN19" s="43" t="n">
        <f aca="false">AK19</f>
        <v>300.3</v>
      </c>
    </row>
    <row r="20" customFormat="false" ht="14.25" hidden="false" customHeight="false" outlineLevel="0" collapsed="false">
      <c r="A20" s="45" t="s">
        <v>155</v>
      </c>
      <c r="B20" s="43" t="n">
        <f aca="false">B17*Assumptions!B52</f>
        <v>1.75</v>
      </c>
      <c r="C20" s="43" t="n">
        <f aca="false">C17*Assumptions!B52</f>
        <v>1.88839865841818</v>
      </c>
      <c r="D20" s="43" t="n">
        <f aca="false">D17*Assumptions!B52</f>
        <v>2.03774256749463</v>
      </c>
      <c r="E20" s="43" t="n">
        <f aca="false">E17*Assumptions!B52</f>
        <v>2.19889733180484</v>
      </c>
      <c r="F20" s="43" t="n">
        <f aca="false">F17*Assumptions!B52</f>
        <v>2.37279701221691</v>
      </c>
      <c r="G20" s="43" t="n">
        <f aca="false">G17*Assumptions!B52</f>
        <v>2.56044953975376</v>
      </c>
      <c r="H20" s="43" t="n">
        <f aca="false">H17*Assumptions!B52</f>
        <v>2.76294255761055</v>
      </c>
      <c r="I20" s="43" t="n">
        <f aca="false">I17*Assumptions!B52</f>
        <v>2.98144972518758</v>
      </c>
      <c r="J20" s="43" t="n">
        <f aca="false">J17*Assumptions!B52</f>
        <v>3.21723752067742</v>
      </c>
      <c r="K20" s="43" t="n">
        <f aca="false">K17*Assumptions!B52</f>
        <v>3.47167258163422</v>
      </c>
      <c r="L20" s="43" t="n">
        <f aca="false">L17*Assumptions!B52</f>
        <v>3.74622962607157</v>
      </c>
      <c r="M20" s="43" t="n">
        <f aca="false">M17*Assumptions!B52</f>
        <v>4.0425</v>
      </c>
      <c r="N20" s="44" t="n">
        <f aca="false">N17*Assumptions!B52</f>
        <v>4.0425</v>
      </c>
      <c r="O20" s="43" t="n">
        <f aca="false">O17*Assumptions!B52</f>
        <v>5.43453388589898</v>
      </c>
      <c r="P20" s="43" t="n">
        <f aca="false">P17*Assumptions!B52</f>
        <v>7.30591429981057</v>
      </c>
      <c r="Q20" s="43" t="n">
        <f aca="false">Q17*Assumptions!B52</f>
        <v>9.82170410137153</v>
      </c>
      <c r="R20" s="43" t="n">
        <f aca="false">R17*Assumptions!B52</f>
        <v>13.2038055055477</v>
      </c>
      <c r="S20" s="43" t="n">
        <f aca="false">S17*Assumptions!B52</f>
        <v>17.7505327007343</v>
      </c>
      <c r="T20" s="43" t="n">
        <f aca="false">T17*Assumptions!B52</f>
        <v>23.8629242931103</v>
      </c>
      <c r="U20" s="43" t="n">
        <f aca="false">U17*Assumptions!B52</f>
        <v>32.080116434768</v>
      </c>
      <c r="V20" s="43" t="n">
        <f aca="false">V17*Assumptions!B52</f>
        <v>43.1268966798593</v>
      </c>
      <c r="W20" s="43" t="n">
        <f aca="false">W17*Assumptions!B52</f>
        <v>57.9776329994705</v>
      </c>
      <c r="X20" s="43" t="n">
        <f aca="false">X17*Assumptions!B52</f>
        <v>77.9422167371273</v>
      </c>
      <c r="Y20" s="43" t="n">
        <f aca="false">Y17*Assumptions!B52</f>
        <v>104.7816</v>
      </c>
      <c r="Z20" s="44" t="n">
        <f aca="false">Z17*Assumptions!B52</f>
        <v>104.7816</v>
      </c>
      <c r="AA20" s="43" t="n">
        <f aca="false">AA17*Assumptions!B52</f>
        <v>111.627977782916</v>
      </c>
      <c r="AB20" s="43" t="n">
        <f aca="false">AB17*Assumptions!B52</f>
        <v>118.921694495055</v>
      </c>
      <c r="AC20" s="43" t="n">
        <f aca="false">AC17*Assumptions!B52</f>
        <v>126.69197904022</v>
      </c>
      <c r="AD20" s="43" t="n">
        <f aca="false">AD17*Assumptions!B52</f>
        <v>134.96997012429</v>
      </c>
      <c r="AE20" s="43" t="n">
        <f aca="false">AE17*Assumptions!B52</f>
        <v>143.788841040745</v>
      </c>
      <c r="AF20" s="43" t="n">
        <f aca="false">AF17*Assumptions!B52</f>
        <v>153.183932609614</v>
      </c>
      <c r="AG20" s="43" t="n">
        <f aca="false">AG17*Assumptions!B52</f>
        <v>163.192894802576</v>
      </c>
      <c r="AH20" s="43" t="n">
        <f aca="false">AH17*Assumptions!B52</f>
        <v>173.855837621792</v>
      </c>
      <c r="AI20" s="43" t="n">
        <f aca="false">AI17*Assumptions!B52</f>
        <v>185.215491837075</v>
      </c>
      <c r="AJ20" s="43" t="n">
        <f aca="false">AJ17*Assumptions!B52</f>
        <v>197.317380225543</v>
      </c>
      <c r="AK20" s="43" t="n">
        <f aca="false">AK17*Assumptions!B52</f>
        <v>210.21</v>
      </c>
      <c r="AL20" s="44" t="n">
        <f aca="false">M20</f>
        <v>4.0425</v>
      </c>
      <c r="AM20" s="43" t="n">
        <f aca="false">Y20</f>
        <v>104.7816</v>
      </c>
      <c r="AN20" s="43" t="n">
        <f aca="false">AK20</f>
        <v>210.21</v>
      </c>
    </row>
    <row r="21" customFormat="false" ht="14.25" hidden="false" customHeight="false" outlineLevel="0" collapsed="false">
      <c r="A21" s="45" t="s">
        <v>156</v>
      </c>
      <c r="B21" s="43" t="n">
        <f aca="false">B17*Assumptions!B53</f>
        <v>0.75</v>
      </c>
      <c r="C21" s="43" t="n">
        <f aca="false">C17*Assumptions!B53</f>
        <v>0.80931371075065</v>
      </c>
      <c r="D21" s="43" t="n">
        <f aca="false">D17*Assumptions!B53</f>
        <v>0.873318243211982</v>
      </c>
      <c r="E21" s="43" t="n">
        <f aca="false">E17*Assumptions!B53</f>
        <v>0.942384570773504</v>
      </c>
      <c r="F21" s="43" t="n">
        <f aca="false">F17*Assumptions!B53</f>
        <v>1.01691300523582</v>
      </c>
      <c r="G21" s="43" t="n">
        <f aca="false">G17*Assumptions!B53</f>
        <v>1.09733551703733</v>
      </c>
      <c r="H21" s="43" t="n">
        <f aca="false">H17*Assumptions!B53</f>
        <v>1.18411823897595</v>
      </c>
      <c r="I21" s="43" t="n">
        <f aca="false">I17*Assumptions!B53</f>
        <v>1.27776416793753</v>
      </c>
      <c r="J21" s="43" t="n">
        <f aca="false">J17*Assumptions!B53</f>
        <v>1.37881608029032</v>
      </c>
      <c r="K21" s="43" t="n">
        <f aca="false">K17*Assumptions!B53</f>
        <v>1.48785967784324</v>
      </c>
      <c r="L21" s="43" t="n">
        <f aca="false">L17*Assumptions!B53</f>
        <v>1.6055269826021</v>
      </c>
      <c r="M21" s="43" t="n">
        <f aca="false">M17*Assumptions!B53</f>
        <v>1.7325</v>
      </c>
      <c r="N21" s="44" t="n">
        <f aca="false">N17*Assumptions!B53</f>
        <v>1.7325</v>
      </c>
      <c r="O21" s="43" t="n">
        <f aca="false">O17*Assumptions!B53</f>
        <v>2.32908595109956</v>
      </c>
      <c r="P21" s="43" t="n">
        <f aca="false">P17*Assumptions!B53</f>
        <v>3.13110612849024</v>
      </c>
      <c r="Q21" s="43" t="n">
        <f aca="false">Q17*Assumptions!B53</f>
        <v>4.20930175773066</v>
      </c>
      <c r="R21" s="43" t="n">
        <f aca="false">R17*Assumptions!B53</f>
        <v>5.65877378809187</v>
      </c>
      <c r="S21" s="43" t="n">
        <f aca="false">S17*Assumptions!B53</f>
        <v>7.60737115745755</v>
      </c>
      <c r="T21" s="43" t="n">
        <f aca="false">T17*Assumptions!B53</f>
        <v>10.2269675541901</v>
      </c>
      <c r="U21" s="43" t="n">
        <f aca="false">U17*Assumptions!B53</f>
        <v>13.7486213291863</v>
      </c>
      <c r="V21" s="43" t="n">
        <f aca="false">V17*Assumptions!B53</f>
        <v>18.4829557199397</v>
      </c>
      <c r="W21" s="43" t="n">
        <f aca="false">W17*Assumptions!B53</f>
        <v>24.8475569997731</v>
      </c>
      <c r="X21" s="43" t="n">
        <f aca="false">X17*Assumptions!B53</f>
        <v>33.4038071730545</v>
      </c>
      <c r="Y21" s="43" t="n">
        <f aca="false">Y17*Assumptions!B53</f>
        <v>44.9064</v>
      </c>
      <c r="Z21" s="44" t="n">
        <f aca="false">Z17*Assumptions!B53</f>
        <v>44.9064</v>
      </c>
      <c r="AA21" s="43" t="n">
        <f aca="false">AA17*Assumptions!B53</f>
        <v>47.8405619069638</v>
      </c>
      <c r="AB21" s="43" t="n">
        <f aca="false">AB17*Assumptions!B53</f>
        <v>50.9664404978808</v>
      </c>
      <c r="AC21" s="43" t="n">
        <f aca="false">AC17*Assumptions!B53</f>
        <v>54.2965624458085</v>
      </c>
      <c r="AD21" s="43" t="n">
        <f aca="false">AD17*Assumptions!B53</f>
        <v>57.8442729104098</v>
      </c>
      <c r="AE21" s="43" t="n">
        <f aca="false">AE17*Assumptions!B53</f>
        <v>61.6237890174623</v>
      </c>
      <c r="AF21" s="43" t="n">
        <f aca="false">AF17*Assumptions!B53</f>
        <v>65.6502568326916</v>
      </c>
      <c r="AG21" s="43" t="n">
        <f aca="false">AG17*Assumptions!B53</f>
        <v>69.9398120582468</v>
      </c>
      <c r="AH21" s="43" t="n">
        <f aca="false">AH17*Assumptions!B53</f>
        <v>74.5096446950539</v>
      </c>
      <c r="AI21" s="43" t="n">
        <f aca="false">AI17*Assumptions!B53</f>
        <v>79.3780679301748</v>
      </c>
      <c r="AJ21" s="43" t="n">
        <f aca="false">AJ17*Assumptions!B53</f>
        <v>84.5645915252326</v>
      </c>
      <c r="AK21" s="43" t="n">
        <f aca="false">AK17*Assumptions!B53</f>
        <v>90.0899999999999</v>
      </c>
      <c r="AL21" s="44" t="n">
        <f aca="false">M21</f>
        <v>1.7325</v>
      </c>
      <c r="AM21" s="43" t="n">
        <f aca="false">Y21</f>
        <v>44.9064</v>
      </c>
      <c r="AN21" s="43" t="n">
        <f aca="false">AK21</f>
        <v>90.0899999999999</v>
      </c>
    </row>
    <row r="22" customFormat="false" ht="14.25" hidden="false" customHeight="false" outlineLevel="0" collapsed="false">
      <c r="N22" s="41"/>
      <c r="Z22" s="41"/>
      <c r="AL22" s="41"/>
    </row>
    <row r="23" customFormat="false" ht="14.25" hidden="false" customHeight="false" outlineLevel="0" collapsed="false">
      <c r="A23" s="49" t="s">
        <v>157</v>
      </c>
      <c r="B23" s="43" t="n">
        <f aca="false">Assumptions!B29</f>
        <v>5</v>
      </c>
      <c r="C23" s="43" t="n">
        <f aca="false">B23*(1+Assumptions!B32)</f>
        <v>5.15059700205222</v>
      </c>
      <c r="D23" s="43" t="n">
        <f aca="false">C23*(1+Assumptions!B32)</f>
        <v>5.30572989550986</v>
      </c>
      <c r="E23" s="43" t="n">
        <f aca="false">D23*(1+Assumptions!B32)</f>
        <v>5.46553529870238</v>
      </c>
      <c r="F23" s="43" t="n">
        <f aca="false">E23*(1+Assumptions!B32)</f>
        <v>5.63015394482141</v>
      </c>
      <c r="G23" s="43" t="n">
        <f aca="false">F23*(1+Assumptions!B32)</f>
        <v>5.79973080585793</v>
      </c>
      <c r="H23" s="43" t="n">
        <f aca="false">G23*(1+Assumptions!B32)</f>
        <v>5.97441522027235</v>
      </c>
      <c r="I23" s="43" t="n">
        <f aca="false">H23*(1+Assumptions!B32)</f>
        <v>6.15436102450998</v>
      </c>
      <c r="J23" s="43" t="n">
        <f aca="false">I23*(1+Assumptions!B32)</f>
        <v>6.33972668847763</v>
      </c>
      <c r="K23" s="43" t="n">
        <f aca="false">J23*(1+Assumptions!B32)</f>
        <v>6.53067545510066</v>
      </c>
      <c r="L23" s="43" t="n">
        <f aca="false">K23*(1+Assumptions!B32)</f>
        <v>6.72737548408349</v>
      </c>
      <c r="M23" s="43" t="n">
        <f aca="false">L23*(1+Assumptions!B32)</f>
        <v>6.93000000000001</v>
      </c>
      <c r="N23" s="44" t="n">
        <f aca="false">M23</f>
        <v>6.93000000000001</v>
      </c>
      <c r="O23" s="43" t="n">
        <f aca="false">N23*(1+Assumptions!C32)</f>
        <v>9.29251527743618</v>
      </c>
      <c r="P23" s="43" t="n">
        <f aca="false">O23*(1+Assumptions!C32)</f>
        <v>12.4604386986125</v>
      </c>
      <c r="Q23" s="43" t="n">
        <f aca="false">P23*(1+Assumptions!C32)</f>
        <v>16.7083429971737</v>
      </c>
      <c r="R23" s="43" t="n">
        <f aca="false">Q23*(1+Assumptions!C32)</f>
        <v>22.4044058530851</v>
      </c>
      <c r="S23" s="43" t="n">
        <f aca="false">R23*(1+Assumptions!C32)</f>
        <v>30.0423208761434</v>
      </c>
      <c r="T23" s="43" t="n">
        <f aca="false">S23*(1+Assumptions!C32)</f>
        <v>40.2840874042139</v>
      </c>
      <c r="U23" s="43" t="n">
        <f aca="false">T23*(1+Assumptions!C32)</f>
        <v>54.0173878270176</v>
      </c>
      <c r="V23" s="43" t="n">
        <f aca="false">U23*(1+Assumptions!C32)</f>
        <v>72.4325254876992</v>
      </c>
      <c r="W23" s="43" t="n">
        <f aca="false">V23*(1+Assumptions!C32)</f>
        <v>97.1255915840879</v>
      </c>
      <c r="X23" s="43" t="n">
        <f aca="false">W23*(1+Assumptions!C32)</f>
        <v>130.236802831914</v>
      </c>
      <c r="Y23" s="43" t="n">
        <f aca="false">X23*(1+Assumptions!C32)</f>
        <v>174.636</v>
      </c>
      <c r="Z23" s="44" t="n">
        <f aca="false">Y23</f>
        <v>174.636</v>
      </c>
      <c r="AA23" s="43" t="n">
        <f aca="false">Z23*(1+Assumptions!D32)</f>
        <v>187.98671139308</v>
      </c>
      <c r="AB23" s="43" t="n">
        <f aca="false">AA23*(1+Assumptions!D32)</f>
        <v>202.358068556227</v>
      </c>
      <c r="AC23" s="43" t="n">
        <f aca="false">AB23*(1+Assumptions!D32)</f>
        <v>217.828098626518</v>
      </c>
      <c r="AD23" s="43" t="n">
        <f aca="false">AC23*(1+Assumptions!D32)</f>
        <v>234.480793821472</v>
      </c>
      <c r="AE23" s="43" t="n">
        <f aca="false">AD23*(1+Assumptions!D32)</f>
        <v>252.406567462249</v>
      </c>
      <c r="AF23" s="43" t="n">
        <f aca="false">AE23*(1+Assumptions!D32)</f>
        <v>271.702744859272</v>
      </c>
      <c r="AG23" s="43" t="n">
        <f aca="false">AF23*(1+Assumptions!D32)</f>
        <v>292.474091725461</v>
      </c>
      <c r="AH23" s="43" t="n">
        <f aca="false">AG23*(1+Assumptions!D32)</f>
        <v>314.833382986025</v>
      </c>
      <c r="AI23" s="43" t="n">
        <f aca="false">AH23*(1+Assumptions!D32)</f>
        <v>338.902015073072</v>
      </c>
      <c r="AJ23" s="43" t="n">
        <f aca="false">AI23*(1+Assumptions!D32)</f>
        <v>364.810665029403</v>
      </c>
      <c r="AK23" s="43" t="n">
        <f aca="false">AJ23*(1+Assumptions!D32)</f>
        <v>392.7</v>
      </c>
      <c r="AL23" s="44" t="n">
        <f aca="false">M23</f>
        <v>6.93000000000001</v>
      </c>
      <c r="AM23" s="43" t="n">
        <f aca="false">Y23</f>
        <v>174.636</v>
      </c>
      <c r="AN23" s="43" t="n">
        <f aca="false">AK23</f>
        <v>392.7</v>
      </c>
    </row>
    <row r="24" customFormat="false" ht="14.25" hidden="false" customHeight="false" outlineLevel="0" collapsed="false">
      <c r="A24" s="50" t="s">
        <v>158</v>
      </c>
      <c r="B24" s="43" t="n">
        <f aca="false">B23</f>
        <v>5</v>
      </c>
      <c r="C24" s="43" t="n">
        <f aca="false">C23-B23*(1-Assumptions!B62)</f>
        <v>0.350597002052218</v>
      </c>
      <c r="D24" s="43" t="n">
        <f aca="false">D23-C23*(1-Assumptions!B62)</f>
        <v>0.36115677353973</v>
      </c>
      <c r="E24" s="43" t="n">
        <f aca="false">E23-D23*(1-Assumptions!B62)</f>
        <v>0.372034599012918</v>
      </c>
      <c r="F24" s="43" t="n">
        <f aca="false">F23-E23*(1-Assumptions!B62)</f>
        <v>0.383240058067127</v>
      </c>
      <c r="G24" s="43" t="n">
        <f aca="false">G23-F23*(1-Assumptions!B62)</f>
        <v>0.394783018829372</v>
      </c>
      <c r="H24" s="43" t="n">
        <f aca="false">H23-G23*(1-Assumptions!B62)</f>
        <v>0.406673646648738</v>
      </c>
      <c r="I24" s="43" t="n">
        <f aca="false">I23-H23*(1-Assumptions!B62)</f>
        <v>0.418922413048526</v>
      </c>
      <c r="J24" s="43" t="n">
        <f aca="false">J23-I23*(1-Assumptions!B62)</f>
        <v>0.431540104948044</v>
      </c>
      <c r="K24" s="43" t="n">
        <f aca="false">K23-J23*(1-Assumptions!B62)</f>
        <v>0.444537834162139</v>
      </c>
      <c r="L24" s="43" t="n">
        <f aca="false">L23-K23*(1-Assumptions!B62)</f>
        <v>0.45792704718686</v>
      </c>
      <c r="M24" s="43" t="n">
        <f aca="false">M23-L23*(1-Assumptions!B62)</f>
        <v>0.471719535279854</v>
      </c>
      <c r="N24" s="44" t="n">
        <f aca="false">N23-M23*(1-Assumptions!B62)</f>
        <v>0.277200000000001</v>
      </c>
      <c r="O24" s="43" t="n">
        <f aca="false">O23-N23*(1-Assumptions!B62)</f>
        <v>2.63971527743617</v>
      </c>
      <c r="P24" s="43" t="n">
        <f aca="false">P23-O23*(1-Assumptions!B62)</f>
        <v>3.53962403227378</v>
      </c>
      <c r="Q24" s="43" t="n">
        <f aca="false">Q23-P23*(1-Assumptions!B62)</f>
        <v>4.74632184650567</v>
      </c>
      <c r="R24" s="43" t="n">
        <f aca="false">R23-Q23*(1-Assumptions!B62)</f>
        <v>6.36439657579841</v>
      </c>
      <c r="S24" s="43" t="n">
        <f aca="false">S23-R23*(1-Assumptions!B62)</f>
        <v>8.5340912571817</v>
      </c>
      <c r="T24" s="43" t="n">
        <f aca="false">T23-S23*(1-Assumptions!B62)</f>
        <v>11.4434593631162</v>
      </c>
      <c r="U24" s="43" t="n">
        <f aca="false">U23-T23*(1-Assumptions!B62)</f>
        <v>15.3446639189722</v>
      </c>
      <c r="V24" s="43" t="n">
        <f aca="false">V23-U23*(1-Assumptions!B62)</f>
        <v>20.5758331737623</v>
      </c>
      <c r="W24" s="43" t="n">
        <f aca="false">W23-V23*(1-Assumptions!B62)</f>
        <v>27.5903671158967</v>
      </c>
      <c r="X24" s="43" t="n">
        <f aca="false">X23-W23*(1-Assumptions!B62)</f>
        <v>36.9962349111894</v>
      </c>
      <c r="Y24" s="43" t="n">
        <f aca="false">Y23-X23*(1-Assumptions!B62)</f>
        <v>49.6086692813629</v>
      </c>
      <c r="Z24" s="44" t="n">
        <f aca="false">Z23-Y23*(1-Assumptions!B62)</f>
        <v>6.98544000000001</v>
      </c>
      <c r="AA24" s="43" t="n">
        <f aca="false">AA23-Z23*(1-Assumptions!B62)</f>
        <v>20.3361513930801</v>
      </c>
      <c r="AB24" s="43" t="n">
        <f aca="false">AB23-AA23*(1-Assumptions!B62)</f>
        <v>21.8908256188698</v>
      </c>
      <c r="AC24" s="43" t="n">
        <f aca="false">AC23-AB23*(1-Assumptions!B62)</f>
        <v>23.5643528125399</v>
      </c>
      <c r="AD24" s="43" t="n">
        <f aca="false">AD23-AC23*(1-Assumptions!B62)</f>
        <v>25.3658191400149</v>
      </c>
      <c r="AE24" s="43" t="n">
        <f aca="false">AE23-AD23*(1-Assumptions!B62)</f>
        <v>27.3050053936362</v>
      </c>
      <c r="AF24" s="43" t="n">
        <f aca="false">AF23-AE23*(1-Assumptions!B62)</f>
        <v>29.3924400955129</v>
      </c>
      <c r="AG24" s="43" t="n">
        <f aca="false">AG23-AF23*(1-Assumptions!B62)</f>
        <v>31.6394566605601</v>
      </c>
      <c r="AH24" s="43" t="n">
        <f aca="false">AH23-AG23*(1-Assumptions!B62)</f>
        <v>34.0582549295825</v>
      </c>
      <c r="AI24" s="43" t="n">
        <f aca="false">AI23-AH23*(1-Assumptions!B62)</f>
        <v>36.6619674064877</v>
      </c>
      <c r="AJ24" s="43" t="n">
        <f aca="false">AJ23-AI23*(1-Assumptions!B62)</f>
        <v>39.4647305592542</v>
      </c>
      <c r="AK24" s="43" t="n">
        <f aca="false">AK23-AJ23*(1-Assumptions!B62)</f>
        <v>42.4817615717732</v>
      </c>
      <c r="AL24" s="44" t="n">
        <f aca="false">SUM(B24:M24)</f>
        <v>9.49313203277553</v>
      </c>
      <c r="AM24" s="43" t="n">
        <f aca="false">SUM(N24:Y24)</f>
        <v>187.660576753496</v>
      </c>
      <c r="AN24" s="43" t="n">
        <f aca="false">SUM(Z24:AK24)</f>
        <v>339.146205581311</v>
      </c>
    </row>
    <row r="25" customFormat="false" ht="14.25" hidden="false" customHeight="false" outlineLevel="0" collapsed="false">
      <c r="A25" s="45" t="s">
        <v>159</v>
      </c>
      <c r="B25" s="43" t="n">
        <f aca="false">B23*Assumptions!B58</f>
        <v>2.5</v>
      </c>
      <c r="C25" s="43" t="n">
        <f aca="false">C23*Assumptions!B58</f>
        <v>2.57529850102611</v>
      </c>
      <c r="D25" s="43" t="n">
        <f aca="false">D23*Assumptions!B58</f>
        <v>2.65286494775493</v>
      </c>
      <c r="E25" s="43" t="n">
        <f aca="false">E23*Assumptions!B58</f>
        <v>2.73276764935119</v>
      </c>
      <c r="F25" s="43" t="n">
        <f aca="false">F23*Assumptions!B58</f>
        <v>2.81507697241071</v>
      </c>
      <c r="G25" s="43" t="n">
        <f aca="false">G23*Assumptions!B58</f>
        <v>2.89986540292896</v>
      </c>
      <c r="H25" s="43" t="n">
        <f aca="false">H23*Assumptions!B58</f>
        <v>2.98720761013617</v>
      </c>
      <c r="I25" s="43" t="n">
        <f aca="false">I23*Assumptions!B58</f>
        <v>3.07718051225499</v>
      </c>
      <c r="J25" s="43" t="n">
        <f aca="false">J23*Assumptions!B58</f>
        <v>3.16986334423881</v>
      </c>
      <c r="K25" s="43" t="n">
        <f aca="false">K23*Assumptions!B58</f>
        <v>3.26533772755033</v>
      </c>
      <c r="L25" s="43" t="n">
        <f aca="false">L23*Assumptions!B58</f>
        <v>3.36368774204175</v>
      </c>
      <c r="M25" s="43" t="n">
        <f aca="false">M23*Assumptions!B58</f>
        <v>3.465</v>
      </c>
      <c r="N25" s="44" t="n">
        <f aca="false">N23*Assumptions!B58</f>
        <v>3.465</v>
      </c>
      <c r="O25" s="43" t="n">
        <f aca="false">O23*Assumptions!B58</f>
        <v>4.64625763871809</v>
      </c>
      <c r="P25" s="43" t="n">
        <f aca="false">P23*Assumptions!B58</f>
        <v>6.23021934930626</v>
      </c>
      <c r="Q25" s="43" t="n">
        <f aca="false">Q23*Assumptions!B58</f>
        <v>8.35417149858684</v>
      </c>
      <c r="R25" s="43" t="n">
        <f aca="false">R23*Assumptions!B58</f>
        <v>11.2022029265426</v>
      </c>
      <c r="S25" s="43" t="n">
        <f aca="false">S23*Assumptions!B58</f>
        <v>15.0211604380717</v>
      </c>
      <c r="T25" s="43" t="n">
        <f aca="false">T23*Assumptions!B58</f>
        <v>20.142043702107</v>
      </c>
      <c r="U25" s="43" t="n">
        <f aca="false">U23*Assumptions!B58</f>
        <v>27.0086939135088</v>
      </c>
      <c r="V25" s="43" t="n">
        <f aca="false">V23*Assumptions!B58</f>
        <v>36.2162627438496</v>
      </c>
      <c r="W25" s="43" t="n">
        <f aca="false">W23*Assumptions!B58</f>
        <v>48.562795792044</v>
      </c>
      <c r="X25" s="43" t="n">
        <f aca="false">X23*Assumptions!B58</f>
        <v>65.1184014159569</v>
      </c>
      <c r="Y25" s="43" t="n">
        <f aca="false">Y23*Assumptions!B58</f>
        <v>87.3180000000001</v>
      </c>
      <c r="Z25" s="44" t="n">
        <f aca="false">Z23*Assumptions!B58</f>
        <v>87.3180000000001</v>
      </c>
      <c r="AA25" s="43" t="n">
        <f aca="false">AA23*Assumptions!B58</f>
        <v>93.9933556965402</v>
      </c>
      <c r="AB25" s="43" t="n">
        <f aca="false">AB23*Assumptions!B58</f>
        <v>101.179034278113</v>
      </c>
      <c r="AC25" s="43" t="n">
        <f aca="false">AC23*Assumptions!B58</f>
        <v>108.914049313259</v>
      </c>
      <c r="AD25" s="43" t="n">
        <f aca="false">AD23*Assumptions!B58</f>
        <v>117.240396910736</v>
      </c>
      <c r="AE25" s="43" t="n">
        <f aca="false">AE23*Assumptions!B58</f>
        <v>126.203283731125</v>
      </c>
      <c r="AF25" s="43" t="n">
        <f aca="false">AF23*Assumptions!B58</f>
        <v>135.851372429636</v>
      </c>
      <c r="AG25" s="43" t="n">
        <f aca="false">AG23*Assumptions!B58</f>
        <v>146.237045862731</v>
      </c>
      <c r="AH25" s="43" t="n">
        <f aca="false">AH23*Assumptions!B58</f>
        <v>157.416691493013</v>
      </c>
      <c r="AI25" s="43" t="n">
        <f aca="false">AI23*Assumptions!B58</f>
        <v>169.451007536536</v>
      </c>
      <c r="AJ25" s="43" t="n">
        <f aca="false">AJ23*Assumptions!B58</f>
        <v>182.405332514702</v>
      </c>
      <c r="AK25" s="43" t="n">
        <f aca="false">AK23*Assumptions!B58</f>
        <v>196.35</v>
      </c>
      <c r="AL25" s="44" t="n">
        <f aca="false">M25</f>
        <v>3.465</v>
      </c>
      <c r="AM25" s="43" t="n">
        <f aca="false">Y25</f>
        <v>87.3180000000001</v>
      </c>
      <c r="AN25" s="43" t="n">
        <f aca="false">AK25</f>
        <v>196.35</v>
      </c>
    </row>
    <row r="26" customFormat="false" ht="14.25" hidden="false" customHeight="false" outlineLevel="0" collapsed="false">
      <c r="A26" s="45" t="s">
        <v>160</v>
      </c>
      <c r="B26" s="43" t="n">
        <f aca="false">B23*Assumptions!B59</f>
        <v>1.75</v>
      </c>
      <c r="C26" s="43" t="n">
        <f aca="false">C23*Assumptions!B59</f>
        <v>1.80270895071828</v>
      </c>
      <c r="D26" s="43" t="n">
        <f aca="false">D23*Assumptions!B59</f>
        <v>1.85700546342845</v>
      </c>
      <c r="E26" s="43" t="n">
        <f aca="false">E23*Assumptions!B59</f>
        <v>1.91293735454583</v>
      </c>
      <c r="F26" s="43" t="n">
        <f aca="false">F23*Assumptions!B59</f>
        <v>1.97055388068749</v>
      </c>
      <c r="G26" s="43" t="n">
        <f aca="false">G23*Assumptions!B59</f>
        <v>2.02990578205028</v>
      </c>
      <c r="H26" s="43" t="n">
        <f aca="false">H23*Assumptions!B59</f>
        <v>2.09104532709532</v>
      </c>
      <c r="I26" s="43" t="n">
        <f aca="false">I23*Assumptions!B59</f>
        <v>2.15402635857849</v>
      </c>
      <c r="J26" s="43" t="n">
        <f aca="false">J23*Assumptions!B59</f>
        <v>2.21890434096717</v>
      </c>
      <c r="K26" s="43" t="n">
        <f aca="false">K23*Assumptions!B59</f>
        <v>2.28573640928523</v>
      </c>
      <c r="L26" s="43" t="n">
        <f aca="false">L23*Assumptions!B59</f>
        <v>2.35458141942922</v>
      </c>
      <c r="M26" s="43" t="n">
        <f aca="false">M23*Assumptions!B59</f>
        <v>2.4255</v>
      </c>
      <c r="N26" s="44" t="n">
        <f aca="false">N23*Assumptions!B59</f>
        <v>2.4255</v>
      </c>
      <c r="O26" s="43" t="n">
        <f aca="false">O23*Assumptions!B59</f>
        <v>3.25238034710266</v>
      </c>
      <c r="P26" s="43" t="n">
        <f aca="false">P23*Assumptions!B59</f>
        <v>4.36115354451438</v>
      </c>
      <c r="Q26" s="43" t="n">
        <f aca="false">Q23*Assumptions!B59</f>
        <v>5.84792004901079</v>
      </c>
      <c r="R26" s="43" t="n">
        <f aca="false">R23*Assumptions!B59</f>
        <v>7.8415420485798</v>
      </c>
      <c r="S26" s="43" t="n">
        <f aca="false">S23*Assumptions!B59</f>
        <v>10.5148123066502</v>
      </c>
      <c r="T26" s="43" t="n">
        <f aca="false">T23*Assumptions!B59</f>
        <v>14.0994305914749</v>
      </c>
      <c r="U26" s="43" t="n">
        <f aca="false">U23*Assumptions!B59</f>
        <v>18.9060857394562</v>
      </c>
      <c r="V26" s="43" t="n">
        <f aca="false">V23*Assumptions!B59</f>
        <v>25.3513839206947</v>
      </c>
      <c r="W26" s="43" t="n">
        <f aca="false">W23*Assumptions!B59</f>
        <v>33.9939570544308</v>
      </c>
      <c r="X26" s="43" t="n">
        <f aca="false">X23*Assumptions!B59</f>
        <v>45.5828809911698</v>
      </c>
      <c r="Y26" s="43" t="n">
        <f aca="false">Y23*Assumptions!B59</f>
        <v>61.1226000000001</v>
      </c>
      <c r="Z26" s="44" t="n">
        <f aca="false">Z23*Assumptions!B59</f>
        <v>61.1226000000001</v>
      </c>
      <c r="AA26" s="43" t="n">
        <f aca="false">AA23*Assumptions!B59</f>
        <v>65.7953489875781</v>
      </c>
      <c r="AB26" s="43" t="n">
        <f aca="false">AB23*Assumptions!B59</f>
        <v>70.8253239946794</v>
      </c>
      <c r="AC26" s="43" t="n">
        <f aca="false">AC23*Assumptions!B59</f>
        <v>76.2398345192812</v>
      </c>
      <c r="AD26" s="43" t="n">
        <f aca="false">AD23*Assumptions!B59</f>
        <v>82.0682778375151</v>
      </c>
      <c r="AE26" s="43" t="n">
        <f aca="false">AE23*Assumptions!B59</f>
        <v>88.3422986117872</v>
      </c>
      <c r="AF26" s="43" t="n">
        <f aca="false">AF23*Assumptions!B59</f>
        <v>95.0959607007452</v>
      </c>
      <c r="AG26" s="43" t="n">
        <f aca="false">AG23*Assumptions!B59</f>
        <v>102.365932103911</v>
      </c>
      <c r="AH26" s="43" t="n">
        <f aca="false">AH23*Assumptions!B59</f>
        <v>110.191684045109</v>
      </c>
      <c r="AI26" s="43" t="n">
        <f aca="false">AI23*Assumptions!B59</f>
        <v>118.615705275575</v>
      </c>
      <c r="AJ26" s="43" t="n">
        <f aca="false">AJ23*Assumptions!B59</f>
        <v>127.683732760291</v>
      </c>
      <c r="AK26" s="43" t="n">
        <f aca="false">AK23*Assumptions!B59</f>
        <v>137.445</v>
      </c>
      <c r="AL26" s="44" t="n">
        <f aca="false">M26</f>
        <v>2.4255</v>
      </c>
      <c r="AM26" s="43" t="n">
        <f aca="false">Y26</f>
        <v>61.1226000000001</v>
      </c>
      <c r="AN26" s="43" t="n">
        <f aca="false">AK26</f>
        <v>137.445</v>
      </c>
    </row>
    <row r="27" customFormat="false" ht="14.25" hidden="false" customHeight="false" outlineLevel="0" collapsed="false">
      <c r="A27" s="45" t="s">
        <v>161</v>
      </c>
      <c r="B27" s="43" t="n">
        <f aca="false">B23*Assumptions!B60</f>
        <v>0.75</v>
      </c>
      <c r="C27" s="43" t="n">
        <f aca="false">C23*Assumptions!B60</f>
        <v>0.772589550307833</v>
      </c>
      <c r="D27" s="43" t="n">
        <f aca="false">D23*Assumptions!B60</f>
        <v>0.795859484326479</v>
      </c>
      <c r="E27" s="43" t="n">
        <f aca="false">E23*Assumptions!B60</f>
        <v>0.819830294805357</v>
      </c>
      <c r="F27" s="43" t="n">
        <f aca="false">F23*Assumptions!B60</f>
        <v>0.844523091723212</v>
      </c>
      <c r="G27" s="43" t="n">
        <f aca="false">G23*Assumptions!B60</f>
        <v>0.869959620878689</v>
      </c>
      <c r="H27" s="43" t="n">
        <f aca="false">H23*Assumptions!B60</f>
        <v>0.896162283040852</v>
      </c>
      <c r="I27" s="43" t="n">
        <f aca="false">I23*Assumptions!B60</f>
        <v>0.923154153676497</v>
      </c>
      <c r="J27" s="43" t="n">
        <f aca="false">J23*Assumptions!B60</f>
        <v>0.950959003271644</v>
      </c>
      <c r="K27" s="43" t="n">
        <f aca="false">K23*Assumptions!B60</f>
        <v>0.979601318265099</v>
      </c>
      <c r="L27" s="43" t="n">
        <f aca="false">L23*Assumptions!B60</f>
        <v>1.00910632261252</v>
      </c>
      <c r="M27" s="43" t="n">
        <f aca="false">M23*Assumptions!B60</f>
        <v>1.0395</v>
      </c>
      <c r="N27" s="44" t="n">
        <f aca="false">N23*Assumptions!B60</f>
        <v>1.0395</v>
      </c>
      <c r="O27" s="43" t="n">
        <f aca="false">O23*Assumptions!B60</f>
        <v>1.39387729161543</v>
      </c>
      <c r="P27" s="43" t="n">
        <f aca="false">P23*Assumptions!B60</f>
        <v>1.86906580479188</v>
      </c>
      <c r="Q27" s="43" t="n">
        <f aca="false">Q23*Assumptions!B60</f>
        <v>2.50625144957605</v>
      </c>
      <c r="R27" s="43" t="n">
        <f aca="false">R23*Assumptions!B60</f>
        <v>3.36066087796277</v>
      </c>
      <c r="S27" s="43" t="n">
        <f aca="false">S23*Assumptions!B60</f>
        <v>4.50634813142152</v>
      </c>
      <c r="T27" s="43" t="n">
        <f aca="false">T23*Assumptions!B60</f>
        <v>6.04261311063209</v>
      </c>
      <c r="U27" s="43" t="n">
        <f aca="false">U23*Assumptions!B60</f>
        <v>8.10260817405264</v>
      </c>
      <c r="V27" s="43" t="n">
        <f aca="false">V23*Assumptions!B60</f>
        <v>10.8648788231549</v>
      </c>
      <c r="W27" s="43" t="n">
        <f aca="false">W23*Assumptions!B60</f>
        <v>14.5688387376132</v>
      </c>
      <c r="X27" s="43" t="n">
        <f aca="false">X23*Assumptions!B60</f>
        <v>19.5355204247871</v>
      </c>
      <c r="Y27" s="43" t="n">
        <f aca="false">Y23*Assumptions!B60</f>
        <v>26.1954</v>
      </c>
      <c r="Z27" s="44" t="n">
        <f aca="false">Z23*Assumptions!B60</f>
        <v>26.1954</v>
      </c>
      <c r="AA27" s="43" t="n">
        <f aca="false">AA23*Assumptions!B60</f>
        <v>28.198006708962</v>
      </c>
      <c r="AB27" s="43" t="n">
        <f aca="false">AB23*Assumptions!B60</f>
        <v>30.353710283434</v>
      </c>
      <c r="AC27" s="43" t="n">
        <f aca="false">AC23*Assumptions!B60</f>
        <v>32.6742147939776</v>
      </c>
      <c r="AD27" s="43" t="n">
        <f aca="false">AD23*Assumptions!B60</f>
        <v>35.1721190732208</v>
      </c>
      <c r="AE27" s="43" t="n">
        <f aca="false">AE23*Assumptions!B60</f>
        <v>37.8609851193374</v>
      </c>
      <c r="AF27" s="43" t="n">
        <f aca="false">AF23*Assumptions!B60</f>
        <v>40.7554117288908</v>
      </c>
      <c r="AG27" s="43" t="n">
        <f aca="false">AG23*Assumptions!B60</f>
        <v>43.8711137588192</v>
      </c>
      <c r="AH27" s="43" t="n">
        <f aca="false">AH23*Assumptions!B60</f>
        <v>47.2250074479038</v>
      </c>
      <c r="AI27" s="43" t="n">
        <f aca="false">AI23*Assumptions!B60</f>
        <v>50.8353022609608</v>
      </c>
      <c r="AJ27" s="43" t="n">
        <f aca="false">AJ23*Assumptions!B60</f>
        <v>54.7215997544105</v>
      </c>
      <c r="AK27" s="43" t="n">
        <f aca="false">AK23*Assumptions!B60</f>
        <v>58.905</v>
      </c>
      <c r="AL27" s="44" t="n">
        <f aca="false">M27</f>
        <v>1.0395</v>
      </c>
      <c r="AM27" s="43" t="n">
        <f aca="false">Y27</f>
        <v>26.1954</v>
      </c>
      <c r="AN27" s="43" t="n">
        <f aca="false">AK27</f>
        <v>58.905</v>
      </c>
    </row>
    <row r="29" customFormat="false" ht="27.75" hidden="false" customHeight="true" outlineLevel="0" collapsed="false">
      <c r="A29" s="51" t="s">
        <v>162</v>
      </c>
    </row>
  </sheetData>
  <mergeCells count="3">
    <mergeCell ref="B4:M4"/>
    <mergeCell ref="N4:Y4"/>
    <mergeCell ref="Z4:A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G42" activeCellId="0" sqref="G4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37" min="2" style="0" width="9.54"/>
    <col collapsed="false" customWidth="true" hidden="false" outlineLevel="0" max="40" min="38" style="0" width="12"/>
  </cols>
  <sheetData>
    <row r="1" customFormat="false" ht="18" hidden="false" customHeight="true" outlineLevel="0" collapsed="false">
      <c r="A1" s="33" t="s">
        <v>163</v>
      </c>
    </row>
    <row r="2" customFormat="false" ht="14.25" hidden="false" customHeight="false" outlineLevel="0" collapsed="false">
      <c r="A2" s="3" t="s">
        <v>164</v>
      </c>
    </row>
    <row r="4" customFormat="false" ht="15.75" hidden="false" customHeight="true" outlineLevel="0" collapsed="false">
      <c r="B4" s="52" t="s">
        <v>165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3" t="s">
        <v>166</v>
      </c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4" t="s">
        <v>167</v>
      </c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35" t="s">
        <v>139</v>
      </c>
      <c r="AM4" s="36" t="s">
        <v>140</v>
      </c>
      <c r="AN4" s="36" t="s">
        <v>141</v>
      </c>
    </row>
    <row r="5" customFormat="false" ht="15.75" hidden="false" customHeight="true" outlineLevel="0" collapsed="false">
      <c r="B5" s="55" t="s">
        <v>168</v>
      </c>
      <c r="C5" s="55" t="s">
        <v>169</v>
      </c>
      <c r="D5" s="55" t="s">
        <v>170</v>
      </c>
      <c r="E5" s="55" t="s">
        <v>171</v>
      </c>
      <c r="F5" s="55" t="s">
        <v>172</v>
      </c>
      <c r="G5" s="55" t="s">
        <v>173</v>
      </c>
      <c r="H5" s="55" t="s">
        <v>174</v>
      </c>
      <c r="I5" s="55" t="s">
        <v>175</v>
      </c>
      <c r="J5" s="55" t="s">
        <v>176</v>
      </c>
      <c r="K5" s="55" t="s">
        <v>177</v>
      </c>
      <c r="L5" s="55" t="s">
        <v>178</v>
      </c>
      <c r="M5" s="55" t="s">
        <v>179</v>
      </c>
      <c r="N5" s="56" t="s">
        <v>180</v>
      </c>
      <c r="O5" s="56" t="s">
        <v>181</v>
      </c>
      <c r="P5" s="56" t="s">
        <v>182</v>
      </c>
      <c r="Q5" s="56" t="s">
        <v>183</v>
      </c>
      <c r="R5" s="56" t="s">
        <v>184</v>
      </c>
      <c r="S5" s="56" t="s">
        <v>185</v>
      </c>
      <c r="T5" s="56" t="s">
        <v>186</v>
      </c>
      <c r="U5" s="56" t="s">
        <v>187</v>
      </c>
      <c r="V5" s="56" t="s">
        <v>188</v>
      </c>
      <c r="W5" s="56" t="s">
        <v>189</v>
      </c>
      <c r="X5" s="56" t="s">
        <v>190</v>
      </c>
      <c r="Y5" s="56" t="s">
        <v>191</v>
      </c>
      <c r="Z5" s="56" t="s">
        <v>192</v>
      </c>
      <c r="AA5" s="56" t="s">
        <v>193</v>
      </c>
      <c r="AB5" s="56" t="s">
        <v>194</v>
      </c>
      <c r="AC5" s="56" t="s">
        <v>195</v>
      </c>
      <c r="AD5" s="56" t="s">
        <v>196</v>
      </c>
      <c r="AE5" s="56" t="s">
        <v>197</v>
      </c>
      <c r="AF5" s="56" t="s">
        <v>198</v>
      </c>
      <c r="AG5" s="56" t="s">
        <v>199</v>
      </c>
      <c r="AH5" s="56" t="s">
        <v>200</v>
      </c>
      <c r="AI5" s="56" t="s">
        <v>201</v>
      </c>
      <c r="AJ5" s="56" t="s">
        <v>202</v>
      </c>
      <c r="AK5" s="56" t="s">
        <v>203</v>
      </c>
      <c r="AL5" s="39" t="s">
        <v>142</v>
      </c>
      <c r="AM5" s="40" t="s">
        <v>143</v>
      </c>
      <c r="AN5" s="40" t="s">
        <v>144</v>
      </c>
    </row>
    <row r="6" customFormat="false" ht="14.25" hidden="false" customHeight="false" outlineLevel="0" collapsed="false">
      <c r="N6" s="41"/>
      <c r="Z6" s="41"/>
      <c r="AL6" s="41"/>
    </row>
    <row r="7" customFormat="false" ht="18" hidden="false" customHeight="true" outlineLevel="0" collapsed="false">
      <c r="A7" s="57" t="s">
        <v>204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9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9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9"/>
      <c r="AM7" s="58"/>
      <c r="AN7" s="58"/>
    </row>
    <row r="8" customFormat="false" ht="14.25" hidden="false" customHeight="false" outlineLevel="0" collapsed="false">
      <c r="A8" s="45" t="s">
        <v>205</v>
      </c>
      <c r="B8" s="43" t="n">
        <f aca="false">'Volume &amp; Funnel Build'!B14*Assumptions!B35</f>
        <v>3341.25</v>
      </c>
      <c r="C8" s="43" t="n">
        <f aca="false">'Volume &amp; Funnel Build'!C14*Assumptions!B35</f>
        <v>3475.01201101775</v>
      </c>
      <c r="D8" s="43" t="n">
        <f aca="false">'Volume &amp; Funnel Build'!D14*Assumptions!B35</f>
        <v>3614.12898667194</v>
      </c>
      <c r="E8" s="43" t="n">
        <f aca="false">'Volume &amp; Funnel Build'!E14*Assumptions!B35</f>
        <v>3758.81530506619</v>
      </c>
      <c r="F8" s="43" t="n">
        <f aca="false">'Volume &amp; Funnel Build'!F14*Assumptions!B35</f>
        <v>3909.293926615</v>
      </c>
      <c r="G8" s="43" t="n">
        <f aca="false">'Volume &amp; Funnel Build'!G14*Assumptions!B35</f>
        <v>4065.79673762391</v>
      </c>
      <c r="H8" s="43" t="n">
        <f aca="false">'Volume &amp; Funnel Build'!H14*Assumptions!B35</f>
        <v>4228.56490762435</v>
      </c>
      <c r="I8" s="43" t="n">
        <f aca="false">'Volume &amp; Funnel Build'!I14*Assumptions!B35</f>
        <v>4397.84926101393</v>
      </c>
      <c r="J8" s="43" t="n">
        <f aca="false">'Volume &amp; Funnel Build'!J14*Assumptions!B35</f>
        <v>4573.91066357469</v>
      </c>
      <c r="K8" s="43" t="n">
        <f aca="false">'Volume &amp; Funnel Build'!K14*Assumptions!B35</f>
        <v>4757.02042446516</v>
      </c>
      <c r="L8" s="43" t="n">
        <f aca="false">'Volume &amp; Funnel Build'!L14*Assumptions!B35</f>
        <v>4947.46071430548</v>
      </c>
      <c r="M8" s="43" t="n">
        <f aca="false">'Volume &amp; Funnel Build'!M14*Assumptions!B35</f>
        <v>5145.525</v>
      </c>
      <c r="N8" s="44" t="n">
        <f aca="false">'Volume &amp; Funnel Build'!N14*Assumptions!B35</f>
        <v>4939.704</v>
      </c>
      <c r="O8" s="43" t="n">
        <f aca="false">'Volume &amp; Funnel Build'!O14*Assumptions!B35</f>
        <v>6424.16383099359</v>
      </c>
      <c r="P8" s="43" t="n">
        <f aca="false">'Volume &amp; Funnel Build'!P14*Assumptions!B35</f>
        <v>8354.7275155447</v>
      </c>
      <c r="Q8" s="43" t="n">
        <f aca="false">'Volume &amp; Funnel Build'!Q14*Assumptions!B35</f>
        <v>10865.4563761653</v>
      </c>
      <c r="R8" s="43" t="n">
        <f aca="false">'Volume &amp; Funnel Build'!R14*Assumptions!B35</f>
        <v>14130.6993008082</v>
      </c>
      <c r="S8" s="43" t="n">
        <f aca="false">'Volume &amp; Funnel Build'!S14*Assumptions!B35</f>
        <v>18377.1997987933</v>
      </c>
      <c r="T8" s="43" t="n">
        <f aca="false">'Volume &amp; Funnel Build'!T14*Assumptions!B35</f>
        <v>23899.8414201237</v>
      </c>
      <c r="U8" s="43" t="n">
        <f aca="false">'Volume &amp; Funnel Build'!U14*Assumptions!B35</f>
        <v>31082.1249244167</v>
      </c>
      <c r="V8" s="43" t="n">
        <f aca="false">'Volume &amp; Funnel Build'!V14*Assumptions!B35</f>
        <v>40422.7991656711</v>
      </c>
      <c r="W8" s="43" t="n">
        <f aca="false">'Volume &amp; Funnel Build'!W14*Assumptions!B35</f>
        <v>52570.4949826187</v>
      </c>
      <c r="X8" s="43" t="n">
        <f aca="false">'Volume &amp; Funnel Build'!X14*Assumptions!B35</f>
        <v>68368.7671254733</v>
      </c>
      <c r="Y8" s="43" t="n">
        <f aca="false">'Volume &amp; Funnel Build'!Y14*Assumptions!B35</f>
        <v>88914.6720000001</v>
      </c>
      <c r="Z8" s="44" t="n">
        <f aca="false">'Volume &amp; Funnel Build'!Z14*Assumptions!B35</f>
        <v>82328.4000000001</v>
      </c>
      <c r="AA8" s="43" t="n">
        <f aca="false">'Volume &amp; Funnel Build'!AA14*Assumptions!B35</f>
        <v>86241.7863115232</v>
      </c>
      <c r="AB8" s="43" t="n">
        <f aca="false">'Volume &amp; Funnel Build'!AB14*Assumptions!B35</f>
        <v>90341.1909645082</v>
      </c>
      <c r="AC8" s="43" t="n">
        <f aca="false">'Volume &amp; Funnel Build'!AC14*Assumptions!B35</f>
        <v>94635.4561280143</v>
      </c>
      <c r="AD8" s="43" t="n">
        <f aca="false">'Volume &amp; Funnel Build'!AD14*Assumptions!B35</f>
        <v>99133.8442734916</v>
      </c>
      <c r="AE8" s="43" t="n">
        <f aca="false">'Volume &amp; Funnel Build'!AE14*Assumptions!B35</f>
        <v>103846.058153374</v>
      </c>
      <c r="AF8" s="43" t="n">
        <f aca="false">'Volume &amp; Funnel Build'!AF14*Assumptions!B35</f>
        <v>108782.261729334</v>
      </c>
      <c r="AG8" s="43" t="n">
        <f aca="false">'Volume &amp; Funnel Build'!AG14*Assumptions!B35</f>
        <v>113953.102095333</v>
      </c>
      <c r="AH8" s="43" t="n">
        <f aca="false">'Volume &amp; Funnel Build'!AH14*Assumptions!B35</f>
        <v>119369.732442764</v>
      </c>
      <c r="AI8" s="43" t="n">
        <f aca="false">'Volume &amp; Funnel Build'!AI14*Assumptions!B35</f>
        <v>125043.836117215</v>
      </c>
      <c r="AJ8" s="43" t="n">
        <f aca="false">'Volume &amp; Funnel Build'!AJ14*Assumptions!B35</f>
        <v>130987.651818741</v>
      </c>
      <c r="AK8" s="43" t="n">
        <f aca="false">'Volume &amp; Funnel Build'!AK14*Assumptions!B35</f>
        <v>137214</v>
      </c>
      <c r="AL8" s="44" t="n">
        <f aca="false">SUM(B8:M8)</f>
        <v>50214.6279379784</v>
      </c>
      <c r="AM8" s="43" t="n">
        <f aca="false">SUM(N8:Y8)</f>
        <v>368350.650440609</v>
      </c>
      <c r="AN8" s="43" t="n">
        <f aca="false">SUM(Z8:AK8)</f>
        <v>1291877.3200343</v>
      </c>
    </row>
    <row r="9" customFormat="false" ht="14.25" hidden="false" customHeight="false" outlineLevel="0" collapsed="false">
      <c r="A9" s="45" t="s">
        <v>206</v>
      </c>
      <c r="B9" s="43" t="n">
        <f aca="false">'Volume &amp; Funnel Build'!B15*Assumptions!B35*Assumptions!B36</f>
        <v>245.025</v>
      </c>
      <c r="C9" s="43" t="n">
        <f aca="false">'Volume &amp; Funnel Build'!C15*Assumptions!B35*Assumptions!B36</f>
        <v>254.834214141302</v>
      </c>
      <c r="D9" s="43" t="n">
        <f aca="false">'Volume &amp; Funnel Build'!D15*Assumptions!B35*Assumptions!B36</f>
        <v>265.036125689276</v>
      </c>
      <c r="E9" s="43" t="n">
        <f aca="false">'Volume &amp; Funnel Build'!E15*Assumptions!B35*Assumptions!B36</f>
        <v>275.646455704854</v>
      </c>
      <c r="F9" s="43" t="n">
        <f aca="false">'Volume &amp; Funnel Build'!F15*Assumptions!B35*Assumptions!B36</f>
        <v>286.681554618433</v>
      </c>
      <c r="G9" s="43" t="n">
        <f aca="false">'Volume &amp; Funnel Build'!G15*Assumptions!B35*Assumptions!B36</f>
        <v>298.158427425753</v>
      </c>
      <c r="H9" s="43" t="n">
        <f aca="false">'Volume &amp; Funnel Build'!H15*Assumptions!B35*Assumptions!B36</f>
        <v>310.094759892452</v>
      </c>
      <c r="I9" s="43" t="n">
        <f aca="false">'Volume &amp; Funnel Build'!I15*Assumptions!B35*Assumptions!B36</f>
        <v>322.508945807688</v>
      </c>
      <c r="J9" s="43" t="n">
        <f aca="false">'Volume &amp; Funnel Build'!J15*Assumptions!B35*Assumptions!B36</f>
        <v>335.420115328811</v>
      </c>
      <c r="K9" s="43" t="n">
        <f aca="false">'Volume &amp; Funnel Build'!K15*Assumptions!B35*Assumptions!B36</f>
        <v>348.848164460779</v>
      </c>
      <c r="L9" s="43" t="n">
        <f aca="false">'Volume &amp; Funnel Build'!L15*Assumptions!B35*Assumptions!B36</f>
        <v>362.813785715735</v>
      </c>
      <c r="M9" s="43" t="n">
        <f aca="false">'Volume &amp; Funnel Build'!M15*Assumptions!B35*Assumptions!B36</f>
        <v>377.3385</v>
      </c>
      <c r="N9" s="44" t="n">
        <f aca="false">'Volume &amp; Funnel Build'!N15*Assumptions!B35*Assumptions!B36</f>
        <v>724.489920000001</v>
      </c>
      <c r="O9" s="43" t="n">
        <f aca="false">'Volume &amp; Funnel Build'!O15*Assumptions!B35*Assumptions!B36</f>
        <v>942.210695212393</v>
      </c>
      <c r="P9" s="43" t="n">
        <f aca="false">'Volume &amp; Funnel Build'!P15*Assumptions!B35*Assumptions!B36</f>
        <v>1225.36003561322</v>
      </c>
      <c r="Q9" s="43" t="n">
        <f aca="false">'Volume &amp; Funnel Build'!Q15*Assumptions!B35*Assumptions!B36</f>
        <v>1593.60026850424</v>
      </c>
      <c r="R9" s="43" t="n">
        <f aca="false">'Volume &amp; Funnel Build'!R15*Assumptions!B35*Assumptions!B36</f>
        <v>2072.50256411854</v>
      </c>
      <c r="S9" s="43" t="n">
        <f aca="false">'Volume &amp; Funnel Build'!S15*Assumptions!B35*Assumptions!B36</f>
        <v>2695.32263715635</v>
      </c>
      <c r="T9" s="43" t="n">
        <f aca="false">'Volume &amp; Funnel Build'!T15*Assumptions!B35*Assumptions!B36</f>
        <v>3505.31007495147</v>
      </c>
      <c r="U9" s="43" t="n">
        <f aca="false">'Volume &amp; Funnel Build'!U15*Assumptions!B35*Assumptions!B36</f>
        <v>4558.71165558112</v>
      </c>
      <c r="V9" s="43" t="n">
        <f aca="false">'Volume &amp; Funnel Build'!V15*Assumptions!B35*Assumptions!B36</f>
        <v>5928.67721096509</v>
      </c>
      <c r="W9" s="43" t="n">
        <f aca="false">'Volume &amp; Funnel Build'!W15*Assumptions!B35*Assumptions!B36</f>
        <v>7710.33926411741</v>
      </c>
      <c r="X9" s="43" t="n">
        <f aca="false">'Volume &amp; Funnel Build'!X15*Assumptions!B35*Assumptions!B36</f>
        <v>10027.4191784027</v>
      </c>
      <c r="Y9" s="43" t="n">
        <f aca="false">'Volume &amp; Funnel Build'!Y15*Assumptions!B35*Assumptions!B36</f>
        <v>13040.81856</v>
      </c>
      <c r="Z9" s="44" t="n">
        <f aca="false">'Volume &amp; Funnel Build'!Z15*Assumptions!B35*Assumptions!B36</f>
        <v>18112.248</v>
      </c>
      <c r="AA9" s="43" t="n">
        <f aca="false">'Volume &amp; Funnel Build'!AA15*Assumptions!B35*Assumptions!B36</f>
        <v>18973.1929885351</v>
      </c>
      <c r="AB9" s="43" t="n">
        <f aca="false">'Volume &amp; Funnel Build'!AB15*Assumptions!B35*Assumptions!B36</f>
        <v>19875.0620121918</v>
      </c>
      <c r="AC9" s="43" t="n">
        <f aca="false">'Volume &amp; Funnel Build'!AC15*Assumptions!B35*Assumptions!B36</f>
        <v>20819.8003481632</v>
      </c>
      <c r="AD9" s="43" t="n">
        <f aca="false">'Volume &amp; Funnel Build'!AD15*Assumptions!B35*Assumptions!B36</f>
        <v>21809.4457401682</v>
      </c>
      <c r="AE9" s="43" t="n">
        <f aca="false">'Volume &amp; Funnel Build'!AE15*Assumptions!B35*Assumptions!B36</f>
        <v>22846.1327937424</v>
      </c>
      <c r="AF9" s="43" t="n">
        <f aca="false">'Volume &amp; Funnel Build'!AF15*Assumptions!B35*Assumptions!B36</f>
        <v>23932.0975804535</v>
      </c>
      <c r="AG9" s="43" t="n">
        <f aca="false">'Volume &amp; Funnel Build'!AG15*Assumptions!B35*Assumptions!B36</f>
        <v>25069.6824609732</v>
      </c>
      <c r="AH9" s="43" t="n">
        <f aca="false">'Volume &amp; Funnel Build'!AH15*Assumptions!B35*Assumptions!B36</f>
        <v>26261.3411374081</v>
      </c>
      <c r="AI9" s="43" t="n">
        <f aca="false">'Volume &amp; Funnel Build'!AI15*Assumptions!B35*Assumptions!B36</f>
        <v>27509.6439457874</v>
      </c>
      <c r="AJ9" s="43" t="n">
        <f aca="false">'Volume &amp; Funnel Build'!AJ15*Assumptions!B35*Assumptions!B36</f>
        <v>28817.2834001229</v>
      </c>
      <c r="AK9" s="43" t="n">
        <f aca="false">'Volume &amp; Funnel Build'!AK15*Assumptions!B35*Assumptions!B36</f>
        <v>30187.08</v>
      </c>
      <c r="AL9" s="44" t="n">
        <f aca="false">SUM(B9:M9)</f>
        <v>3682.40604878508</v>
      </c>
      <c r="AM9" s="43" t="n">
        <f aca="false">SUM(N9:Y9)</f>
        <v>54024.7620646226</v>
      </c>
      <c r="AN9" s="43" t="n">
        <f aca="false">SUM(Z9:AK9)</f>
        <v>284213.010407546</v>
      </c>
    </row>
    <row r="10" customFormat="false" ht="14.25" hidden="false" customHeight="false" outlineLevel="0" collapsed="false">
      <c r="A10" s="45" t="s">
        <v>207</v>
      </c>
      <c r="B10" s="43" t="n">
        <f aca="false">'Volume &amp; Funnel Build'!B13*Assumptions!B37</f>
        <v>0</v>
      </c>
      <c r="C10" s="43" t="n">
        <f aca="false">'Volume &amp; Funnel Build'!C13*Assumptions!B37</f>
        <v>0</v>
      </c>
      <c r="D10" s="43" t="n">
        <f aca="false">'Volume &amp; Funnel Build'!D13*Assumptions!B37</f>
        <v>0</v>
      </c>
      <c r="E10" s="43" t="n">
        <f aca="false">'Volume &amp; Funnel Build'!E13*Assumptions!B37</f>
        <v>0</v>
      </c>
      <c r="F10" s="43" t="n">
        <f aca="false">'Volume &amp; Funnel Build'!F13*Assumptions!B37</f>
        <v>0</v>
      </c>
      <c r="G10" s="43" t="n">
        <f aca="false">'Volume &amp; Funnel Build'!G13*Assumptions!B37</f>
        <v>0</v>
      </c>
      <c r="H10" s="43" t="n">
        <f aca="false">'Volume &amp; Funnel Build'!H13*Assumptions!B37</f>
        <v>0</v>
      </c>
      <c r="I10" s="43" t="n">
        <f aca="false">'Volume &amp; Funnel Build'!I13*Assumptions!B37</f>
        <v>0</v>
      </c>
      <c r="J10" s="43" t="n">
        <f aca="false">'Volume &amp; Funnel Build'!J13*Assumptions!B37</f>
        <v>0</v>
      </c>
      <c r="K10" s="43" t="n">
        <f aca="false">'Volume &amp; Funnel Build'!K13*Assumptions!B37</f>
        <v>0</v>
      </c>
      <c r="L10" s="43" t="n">
        <f aca="false">'Volume &amp; Funnel Build'!L13*Assumptions!B37</f>
        <v>0</v>
      </c>
      <c r="M10" s="43" t="n">
        <f aca="false">'Volume &amp; Funnel Build'!M13*Assumptions!B37</f>
        <v>0</v>
      </c>
      <c r="N10" s="44" t="n">
        <f aca="false">'Volume &amp; Funnel Build'!N13*Assumptions!B37</f>
        <v>0</v>
      </c>
      <c r="O10" s="43" t="n">
        <f aca="false">'Volume &amp; Funnel Build'!O13*Assumptions!B37</f>
        <v>0</v>
      </c>
      <c r="P10" s="43" t="n">
        <f aca="false">'Volume &amp; Funnel Build'!P13*Assumptions!B37</f>
        <v>0</v>
      </c>
      <c r="Q10" s="43" t="n">
        <f aca="false">'Volume &amp; Funnel Build'!Q13*Assumptions!B37</f>
        <v>0</v>
      </c>
      <c r="R10" s="43" t="n">
        <f aca="false">'Volume &amp; Funnel Build'!R13*Assumptions!B37</f>
        <v>0</v>
      </c>
      <c r="S10" s="43" t="n">
        <f aca="false">'Volume &amp; Funnel Build'!S13*Assumptions!B37</f>
        <v>0</v>
      </c>
      <c r="T10" s="43" t="n">
        <f aca="false">'Volume &amp; Funnel Build'!T13*Assumptions!B37</f>
        <v>0</v>
      </c>
      <c r="U10" s="43" t="n">
        <f aca="false">'Volume &amp; Funnel Build'!U13*Assumptions!B37</f>
        <v>0</v>
      </c>
      <c r="V10" s="43" t="n">
        <f aca="false">'Volume &amp; Funnel Build'!V13*Assumptions!B37</f>
        <v>0</v>
      </c>
      <c r="W10" s="43" t="n">
        <f aca="false">'Volume &amp; Funnel Build'!W13*Assumptions!B37</f>
        <v>0</v>
      </c>
      <c r="X10" s="43" t="n">
        <f aca="false">'Volume &amp; Funnel Build'!X13*Assumptions!B37</f>
        <v>0</v>
      </c>
      <c r="Y10" s="43" t="n">
        <f aca="false">'Volume &amp; Funnel Build'!Y13*Assumptions!B37</f>
        <v>0</v>
      </c>
      <c r="Z10" s="44" t="n">
        <f aca="false">'Volume &amp; Funnel Build'!Z13*Assumptions!B37</f>
        <v>0</v>
      </c>
      <c r="AA10" s="43" t="n">
        <f aca="false">'Volume &amp; Funnel Build'!AA13*Assumptions!B37</f>
        <v>0</v>
      </c>
      <c r="AB10" s="43" t="n">
        <f aca="false">'Volume &amp; Funnel Build'!AB13*Assumptions!B37</f>
        <v>0</v>
      </c>
      <c r="AC10" s="43" t="n">
        <f aca="false">'Volume &amp; Funnel Build'!AC13*Assumptions!B37</f>
        <v>0</v>
      </c>
      <c r="AD10" s="43" t="n">
        <f aca="false">'Volume &amp; Funnel Build'!AD13*Assumptions!B37</f>
        <v>0</v>
      </c>
      <c r="AE10" s="43" t="n">
        <f aca="false">'Volume &amp; Funnel Build'!AE13*Assumptions!B37</f>
        <v>0</v>
      </c>
      <c r="AF10" s="43" t="n">
        <f aca="false">'Volume &amp; Funnel Build'!AF13*Assumptions!B37</f>
        <v>0</v>
      </c>
      <c r="AG10" s="43" t="n">
        <f aca="false">'Volume &amp; Funnel Build'!AG13*Assumptions!B37</f>
        <v>0</v>
      </c>
      <c r="AH10" s="43" t="n">
        <f aca="false">'Volume &amp; Funnel Build'!AH13*Assumptions!B37</f>
        <v>0</v>
      </c>
      <c r="AI10" s="43" t="n">
        <f aca="false">'Volume &amp; Funnel Build'!AI13*Assumptions!B37</f>
        <v>0</v>
      </c>
      <c r="AJ10" s="43" t="n">
        <f aca="false">'Volume &amp; Funnel Build'!AJ13*Assumptions!B37</f>
        <v>0</v>
      </c>
      <c r="AK10" s="43" t="n">
        <f aca="false">'Volume &amp; Funnel Build'!AK13*Assumptions!B37</f>
        <v>0</v>
      </c>
      <c r="AL10" s="44" t="n">
        <f aca="false">SUM(B10:M10)</f>
        <v>0</v>
      </c>
      <c r="AM10" s="43" t="n">
        <f aca="false">SUM(N10:Y10)</f>
        <v>0</v>
      </c>
      <c r="AN10" s="43" t="n">
        <f aca="false">SUM(Z10:AK10)</f>
        <v>0</v>
      </c>
    </row>
    <row r="11" customFormat="false" ht="14.25" hidden="false" customHeight="false" outlineLevel="0" collapsed="false">
      <c r="A11" s="45" t="s">
        <v>208</v>
      </c>
      <c r="B11" s="43" t="n">
        <f aca="false">'Volume &amp; Funnel Build'!B13*Assumptions!B39*Assumptions!B35*(Assumptions!B38-1)</f>
        <v>-49.005</v>
      </c>
      <c r="C11" s="43" t="n">
        <f aca="false">'Volume &amp; Funnel Build'!C13*Assumptions!B39*Assumptions!B35*(Assumptions!B38-1)</f>
        <v>-50.9668428282603</v>
      </c>
      <c r="D11" s="43" t="n">
        <f aca="false">'Volume &amp; Funnel Build'!D13*Assumptions!B39*Assumptions!B35*(Assumptions!B38-1)</f>
        <v>-53.0072251378552</v>
      </c>
      <c r="E11" s="43" t="n">
        <f aca="false">'Volume &amp; Funnel Build'!E13*Assumptions!B39*Assumptions!B35*(Assumptions!B38-1)</f>
        <v>-55.1292911409708</v>
      </c>
      <c r="F11" s="43" t="n">
        <f aca="false">'Volume &amp; Funnel Build'!F13*Assumptions!B39*Assumptions!B35*(Assumptions!B38-1)</f>
        <v>-57.3363109236867</v>
      </c>
      <c r="G11" s="43" t="n">
        <f aca="false">'Volume &amp; Funnel Build'!G13*Assumptions!B39*Assumptions!B35*(Assumptions!B38-1)</f>
        <v>-59.6316854851506</v>
      </c>
      <c r="H11" s="43" t="n">
        <f aca="false">'Volume &amp; Funnel Build'!H13*Assumptions!B39*Assumptions!B35*(Assumptions!B38-1)</f>
        <v>-62.0189519784905</v>
      </c>
      <c r="I11" s="43" t="n">
        <f aca="false">'Volume &amp; Funnel Build'!I13*Assumptions!B39*Assumptions!B35*(Assumptions!B38-1)</f>
        <v>-64.5017891615376</v>
      </c>
      <c r="J11" s="43" t="n">
        <f aca="false">'Volume &amp; Funnel Build'!J13*Assumptions!B39*Assumptions!B35*(Assumptions!B38-1)</f>
        <v>-67.0840230657621</v>
      </c>
      <c r="K11" s="43" t="n">
        <f aca="false">'Volume &amp; Funnel Build'!K13*Assumptions!B39*Assumptions!B35*(Assumptions!B38-1)</f>
        <v>-69.7696328921557</v>
      </c>
      <c r="L11" s="43" t="n">
        <f aca="false">'Volume &amp; Funnel Build'!L13*Assumptions!B39*Assumptions!B35*(Assumptions!B38-1)</f>
        <v>-72.5627571431471</v>
      </c>
      <c r="M11" s="43" t="n">
        <f aca="false">'Volume &amp; Funnel Build'!M13*Assumptions!B39*Assumptions!B35*(Assumptions!B38-1)</f>
        <v>-75.4677000000001</v>
      </c>
      <c r="N11" s="44" t="n">
        <f aca="false">'Volume &amp; Funnel Build'!N13*Assumptions!B39*Assumptions!B35*(Assumptions!B38-1)</f>
        <v>-90.5612400000001</v>
      </c>
      <c r="O11" s="43" t="n">
        <f aca="false">'Volume &amp; Funnel Build'!O13*Assumptions!B39*Assumptions!B35*(Assumptions!B38-1)</f>
        <v>-117.776336901549</v>
      </c>
      <c r="P11" s="43" t="n">
        <f aca="false">'Volume &amp; Funnel Build'!P13*Assumptions!B39*Assumptions!B35*(Assumptions!B38-1)</f>
        <v>-153.170004451653</v>
      </c>
      <c r="Q11" s="43" t="n">
        <f aca="false">'Volume &amp; Funnel Build'!Q13*Assumptions!B39*Assumptions!B35*(Assumptions!B38-1)</f>
        <v>-199.20003356303</v>
      </c>
      <c r="R11" s="43" t="n">
        <f aca="false">'Volume &amp; Funnel Build'!R13*Assumptions!B39*Assumptions!B35*(Assumptions!B38-1)</f>
        <v>-259.062820514818</v>
      </c>
      <c r="S11" s="43" t="n">
        <f aca="false">'Volume &amp; Funnel Build'!S13*Assumptions!B39*Assumptions!B35*(Assumptions!B38-1)</f>
        <v>-336.915329644544</v>
      </c>
      <c r="T11" s="43" t="n">
        <f aca="false">'Volume &amp; Funnel Build'!T13*Assumptions!B39*Assumptions!B35*(Assumptions!B38-1)</f>
        <v>-438.163759368934</v>
      </c>
      <c r="U11" s="43" t="n">
        <f aca="false">'Volume &amp; Funnel Build'!U13*Assumptions!B39*Assumptions!B35*(Assumptions!B38-1)</f>
        <v>-569.838956947639</v>
      </c>
      <c r="V11" s="43" t="n">
        <f aca="false">'Volume &amp; Funnel Build'!V13*Assumptions!B39*Assumptions!B35*(Assumptions!B38-1)</f>
        <v>-741.084651370636</v>
      </c>
      <c r="W11" s="43" t="n">
        <f aca="false">'Volume &amp; Funnel Build'!W13*Assumptions!B39*Assumptions!B35*(Assumptions!B38-1)</f>
        <v>-963.792408014676</v>
      </c>
      <c r="X11" s="43" t="n">
        <f aca="false">'Volume &amp; Funnel Build'!X13*Assumptions!B39*Assumptions!B35*(Assumptions!B38-1)</f>
        <v>-1253.42739730034</v>
      </c>
      <c r="Y11" s="43" t="n">
        <f aca="false">'Volume &amp; Funnel Build'!Y13*Assumptions!B39*Assumptions!B35*(Assumptions!B38-1)</f>
        <v>-1630.10232</v>
      </c>
      <c r="Z11" s="44" t="n">
        <f aca="false">'Volume &amp; Funnel Build'!Z13*Assumptions!B39*Assumptions!B35*(Assumptions!B38-1)</f>
        <v>-1811.2248</v>
      </c>
      <c r="AA11" s="43" t="n">
        <f aca="false">'Volume &amp; Funnel Build'!AA13*Assumptions!B39*Assumptions!B35*(Assumptions!B38-1)</f>
        <v>-1897.31929885351</v>
      </c>
      <c r="AB11" s="43" t="n">
        <f aca="false">'Volume &amp; Funnel Build'!AB13*Assumptions!B39*Assumptions!B35*(Assumptions!B38-1)</f>
        <v>-1987.50620121918</v>
      </c>
      <c r="AC11" s="43" t="n">
        <f aca="false">'Volume &amp; Funnel Build'!AC13*Assumptions!B39*Assumptions!B35*(Assumptions!B38-1)</f>
        <v>-2081.98003481632</v>
      </c>
      <c r="AD11" s="43" t="n">
        <f aca="false">'Volume &amp; Funnel Build'!AD13*Assumptions!B39*Assumptions!B35*(Assumptions!B38-1)</f>
        <v>-2180.94457401682</v>
      </c>
      <c r="AE11" s="43" t="n">
        <f aca="false">'Volume &amp; Funnel Build'!AE13*Assumptions!B39*Assumptions!B35*(Assumptions!B38-1)</f>
        <v>-2284.61327937424</v>
      </c>
      <c r="AF11" s="43" t="n">
        <f aca="false">'Volume &amp; Funnel Build'!AF13*Assumptions!B39*Assumptions!B35*(Assumptions!B38-1)</f>
        <v>-2393.20975804535</v>
      </c>
      <c r="AG11" s="43" t="n">
        <f aca="false">'Volume &amp; Funnel Build'!AG13*Assumptions!B39*Assumptions!B35*(Assumptions!B38-1)</f>
        <v>-2506.96824609732</v>
      </c>
      <c r="AH11" s="43" t="n">
        <f aca="false">'Volume &amp; Funnel Build'!AH13*Assumptions!B39*Assumptions!B35*(Assumptions!B38-1)</f>
        <v>-2626.13411374081</v>
      </c>
      <c r="AI11" s="43" t="n">
        <f aca="false">'Volume &amp; Funnel Build'!AI13*Assumptions!B39*Assumptions!B35*(Assumptions!B38-1)</f>
        <v>-2750.96439457874</v>
      </c>
      <c r="AJ11" s="43" t="n">
        <f aca="false">'Volume &amp; Funnel Build'!AJ13*Assumptions!B39*Assumptions!B35*(Assumptions!B38-1)</f>
        <v>-2881.72834001229</v>
      </c>
      <c r="AK11" s="43" t="n">
        <f aca="false">'Volume &amp; Funnel Build'!AK13*Assumptions!B39*Assumptions!B35*(Assumptions!B38-1)</f>
        <v>-3018.708</v>
      </c>
      <c r="AL11" s="44" t="n">
        <f aca="false">SUM(B11:M11)</f>
        <v>-736.481209757017</v>
      </c>
      <c r="AM11" s="43" t="n">
        <f aca="false">SUM(N11:Y11)</f>
        <v>-6753.09525807783</v>
      </c>
      <c r="AN11" s="43" t="n">
        <f aca="false">SUM(Z11:AK11)</f>
        <v>-28421.3010407546</v>
      </c>
    </row>
    <row r="12" customFormat="false" ht="14.25" hidden="false" customHeight="false" outlineLevel="0" collapsed="false">
      <c r="A12" s="45" t="s">
        <v>209</v>
      </c>
      <c r="B12" s="43" t="n">
        <f aca="false">'Volume &amp; Funnel Build'!B19*Assumptions!B48+'Volume &amp; Funnel Build'!B20*Assumptions!B49+'Volume &amp; Funnel Build'!B21*Assumptions!B50</f>
        <v>2815</v>
      </c>
      <c r="C12" s="43" t="n">
        <f aca="false">'Volume &amp; Funnel Build'!C19*Assumptions!B48+'Volume &amp; Funnel Build'!C20*Assumptions!B49+'Volume &amp; Funnel Build'!C21*Assumptions!B50</f>
        <v>3037.62412768411</v>
      </c>
      <c r="D12" s="43" t="n">
        <f aca="false">'Volume &amp; Funnel Build'!D19*Assumptions!B48+'Volume &amp; Funnel Build'!D20*Assumptions!B49+'Volume &amp; Funnel Build'!D21*Assumptions!B50</f>
        <v>3277.85447285564</v>
      </c>
      <c r="E12" s="43" t="n">
        <f aca="false">'Volume &amp; Funnel Build'!E19*Assumptions!B48+'Volume &amp; Funnel Build'!E20*Assumptions!B49+'Volume &amp; Funnel Build'!E21*Assumptions!B50</f>
        <v>3537.08342230322</v>
      </c>
      <c r="F12" s="43" t="n">
        <f aca="false">'Volume &amp; Funnel Build'!F19*Assumptions!B48+'Volume &amp; Funnel Build'!F20*Assumptions!B49+'Volume &amp; Funnel Build'!F21*Assumptions!B50</f>
        <v>3816.81347965177</v>
      </c>
      <c r="G12" s="43" t="n">
        <f aca="false">'Volume &amp; Funnel Build'!G19*Assumptions!B48+'Volume &amp; Funnel Build'!G20*Assumptions!B49+'Volume &amp; Funnel Build'!G21*Assumptions!B50</f>
        <v>4118.66597394676</v>
      </c>
      <c r="H12" s="43" t="n">
        <f aca="false">'Volume &amp; Funnel Build'!H19*Assumptions!B48+'Volume &amp; Funnel Build'!H20*Assumptions!B49+'Volume &amp; Funnel Build'!H21*Assumptions!B50</f>
        <v>4444.39045695639</v>
      </c>
      <c r="I12" s="43" t="n">
        <f aca="false">'Volume &amp; Funnel Build'!I19*Assumptions!B48+'Volume &amp; Funnel Build'!I20*Assumptions!B49+'Volume &amp; Funnel Build'!I21*Assumptions!B50</f>
        <v>4795.87484365887</v>
      </c>
      <c r="J12" s="43" t="n">
        <f aca="false">'Volume &amp; Funnel Build'!J19*Assumptions!B48+'Volume &amp; Funnel Build'!J20*Assumptions!B49+'Volume &amp; Funnel Build'!J21*Assumptions!B50</f>
        <v>5175.15635468968</v>
      </c>
      <c r="K12" s="43" t="n">
        <f aca="false">'Volume &amp; Funnel Build'!K19*Assumptions!B48+'Volume &amp; Funnel Build'!K20*Assumptions!B49+'Volume &amp; Funnel Build'!K21*Assumptions!B50</f>
        <v>5584.43332417161</v>
      </c>
      <c r="L12" s="43" t="n">
        <f aca="false">'Volume &amp; Funnel Build'!L19*Assumptions!B48+'Volume &amp; Funnel Build'!L20*Assumptions!B49+'Volume &amp; Funnel Build'!L21*Assumptions!B50</f>
        <v>6026.07794136655</v>
      </c>
      <c r="M12" s="43" t="n">
        <f aca="false">'Volume &amp; Funnel Build'!M19*Assumptions!B48+'Volume &amp; Funnel Build'!M20*Assumptions!B49+'Volume &amp; Funnel Build'!M21*Assumptions!B50</f>
        <v>6502.65</v>
      </c>
      <c r="N12" s="44" t="n">
        <f aca="false">'Volume &amp; Funnel Build'!N19*Assumptions!B48+'Volume &amp; Funnel Build'!N20*Assumptions!B49+'Volume &amp; Funnel Build'!N21*Assumptions!B50</f>
        <v>6502.65</v>
      </c>
      <c r="O12" s="43" t="n">
        <f aca="false">'Volume &amp; Funnel Build'!O19*Assumptions!B48+'Volume &amp; Funnel Build'!O20*Assumptions!B49+'Volume &amp; Funnel Build'!O21*Assumptions!B50</f>
        <v>8741.83593646035</v>
      </c>
      <c r="P12" s="43" t="n">
        <f aca="false">'Volume &amp; Funnel Build'!P19*Assumptions!B48+'Volume &amp; Funnel Build'!P20*Assumptions!B49+'Volume &amp; Funnel Build'!P21*Assumptions!B50</f>
        <v>11752.0850022667</v>
      </c>
      <c r="Q12" s="43" t="n">
        <f aca="false">'Volume &amp; Funnel Build'!Q19*Assumptions!B48+'Volume &amp; Funnel Build'!Q20*Assumptions!B49+'Volume &amp; Funnel Build'!Q21*Assumptions!B50</f>
        <v>15798.9125973491</v>
      </c>
      <c r="R12" s="43" t="n">
        <f aca="false">'Volume &amp; Funnel Build'!R19*Assumptions!B48+'Volume &amp; Funnel Build'!R20*Assumptions!B49+'Volume &amp; Funnel Build'!R21*Assumptions!B50</f>
        <v>21239.2642846381</v>
      </c>
      <c r="S12" s="43" t="n">
        <f aca="false">'Volume &amp; Funnel Build'!S19*Assumptions!B48+'Volume &amp; Funnel Build'!S20*Assumptions!B49+'Volume &amp; Funnel Build'!S21*Assumptions!B50</f>
        <v>28552.999744324</v>
      </c>
      <c r="T12" s="43" t="n">
        <f aca="false">'Volume &amp; Funnel Build'!T19*Assumptions!B48+'Volume &amp; Funnel Build'!T20*Assumptions!B49+'Volume &amp; Funnel Build'!T21*Assumptions!B50</f>
        <v>38385.2182200602</v>
      </c>
      <c r="U12" s="43" t="n">
        <f aca="false">'Volume &amp; Funnel Build'!U19*Assumptions!B48+'Volume &amp; Funnel Build'!U20*Assumptions!B49+'Volume &amp; Funnel Build'!U21*Assumptions!B50</f>
        <v>51603.1587222125</v>
      </c>
      <c r="V12" s="43" t="n">
        <f aca="false">'Volume &amp; Funnel Build'!V19*Assumptions!B48+'Volume &amp; Funnel Build'!V20*Assumptions!B49+'Volume &amp; Funnel Build'!V21*Assumptions!B50</f>
        <v>69372.6938021737</v>
      </c>
      <c r="W12" s="43" t="n">
        <f aca="false">'Volume &amp; Funnel Build'!W19*Assumptions!B48+'Volume &amp; Funnel Build'!W20*Assumptions!B49+'Volume &amp; Funnel Build'!W21*Assumptions!B50</f>
        <v>93261.1639391482</v>
      </c>
      <c r="X12" s="43" t="n">
        <f aca="false">'Volume &amp; Funnel Build'!X19*Assumptions!B48+'Volume &amp; Funnel Build'!X20*Assumptions!B49+'Volume &amp; Funnel Build'!X21*Assumptions!B50</f>
        <v>125375.622922865</v>
      </c>
      <c r="Y12" s="43" t="n">
        <f aca="false">'Volume &amp; Funnel Build'!Y19*Assumptions!B48+'Volume &amp; Funnel Build'!Y20*Assumptions!B49+'Volume &amp; Funnel Build'!Y21*Assumptions!B50</f>
        <v>168548.688</v>
      </c>
      <c r="Z12" s="44" t="n">
        <f aca="false">'Volume &amp; Funnel Build'!Z19*Assumptions!B48+'Volume &amp; Funnel Build'!Z20*Assumptions!B49+'Volume &amp; Funnel Build'!Z21*Assumptions!B50</f>
        <v>168548.688</v>
      </c>
      <c r="AA12" s="43" t="n">
        <f aca="false">'Volume &amp; Funnel Build'!AA19*Assumptions!B48+'Volume &amp; Funnel Build'!AA20*Assumptions!B49+'Volume &amp; Funnel Build'!AA21*Assumptions!B50</f>
        <v>179561.575690804</v>
      </c>
      <c r="AB12" s="43" t="n">
        <f aca="false">'Volume &amp; Funnel Build'!AB19*Assumptions!B48+'Volume &amp; Funnel Build'!AB20*Assumptions!B49+'Volume &amp; Funnel Build'!AB21*Assumptions!B50</f>
        <v>191294.040002046</v>
      </c>
      <c r="AC12" s="43" t="n">
        <f aca="false">'Volume &amp; Funnel Build'!AC19*Assumptions!B48+'Volume &amp; Funnel Build'!AC20*Assumptions!B49+'Volume &amp; Funnel Build'!AC21*Assumptions!B50</f>
        <v>203793.097713268</v>
      </c>
      <c r="AD12" s="43" t="n">
        <f aca="false">'Volume &amp; Funnel Build'!AD19*Assumptions!B48+'Volume &amp; Funnel Build'!AD20*Assumptions!B49+'Volume &amp; Funnel Build'!AD21*Assumptions!B50</f>
        <v>217108.837657072</v>
      </c>
      <c r="AE12" s="43" t="n">
        <f aca="false">'Volume &amp; Funnel Build'!AE19*Assumptions!B48+'Volume &amp; Funnel Build'!AE20*Assumptions!B49+'Volume &amp; Funnel Build'!AE21*Assumptions!B50</f>
        <v>231294.621445542</v>
      </c>
      <c r="AF12" s="43" t="n">
        <f aca="false">'Volume &amp; Funnel Build'!AF19*Assumptions!B48+'Volume &amp; Funnel Build'!AF20*Assumptions!B49+'Volume &amp; Funnel Build'!AF21*Assumptions!B50</f>
        <v>246407.297312036</v>
      </c>
      <c r="AG12" s="43" t="n">
        <f aca="false">'Volume &amp; Funnel Build'!AG19*Assumptions!B48+'Volume &amp; Funnel Build'!AG20*Assumptions!B49+'Volume &amp; Funnel Build'!AG21*Assumptions!B50</f>
        <v>262507.427925286</v>
      </c>
      <c r="AH12" s="43" t="n">
        <f aca="false">'Volume &amp; Funnel Build'!AH19*Assumptions!B48+'Volume &amp; Funnel Build'!AH20*Assumptions!B49+'Volume &amp; Funnel Build'!AH21*Assumptions!B50</f>
        <v>279659.533088769</v>
      </c>
      <c r="AI12" s="43" t="n">
        <f aca="false">'Volume &amp; Funnel Build'!AI19*Assumptions!B48+'Volume &amp; Funnel Build'!AI20*Assumptions!B49+'Volume &amp; Funnel Build'!AI21*Assumptions!B50</f>
        <v>297932.348297923</v>
      </c>
      <c r="AJ12" s="43" t="n">
        <f aca="false">'Volume &amp; Funnel Build'!AJ19*Assumptions!B48+'Volume &amp; Funnel Build'!AJ20*Assumptions!B49+'Volume &amp; Funnel Build'!AJ21*Assumptions!B50</f>
        <v>317399.100191373</v>
      </c>
      <c r="AK12" s="43" t="n">
        <f aca="false">'Volume &amp; Funnel Build'!AK19*Assumptions!B48+'Volume &amp; Funnel Build'!AK20*Assumptions!B49+'Volume &amp; Funnel Build'!AK21*Assumptions!B50</f>
        <v>338137.8</v>
      </c>
      <c r="AL12" s="44" t="n">
        <f aca="false">SUM(B12:M12)</f>
        <v>53131.6243972846</v>
      </c>
      <c r="AM12" s="43" t="n">
        <f aca="false">SUM(N12:Y12)</f>
        <v>639134.293171498</v>
      </c>
      <c r="AN12" s="43" t="n">
        <f aca="false">SUM(Z12:AK12)</f>
        <v>2933644.36732412</v>
      </c>
    </row>
    <row r="13" customFormat="false" ht="14.25" hidden="false" customHeight="false" outlineLevel="0" collapsed="false">
      <c r="A13" s="45" t="s">
        <v>210</v>
      </c>
      <c r="B13" s="43" t="n">
        <f aca="false">'Volume &amp; Funnel Build'!B25*Assumptions!B55+'Volume &amp; Funnel Build'!B26*Assumptions!B56+'Volume &amp; Funnel Build'!B27*Assumptions!B57</f>
        <v>670</v>
      </c>
      <c r="C13" s="43" t="n">
        <f aca="false">'Volume &amp; Funnel Build'!C25*Assumptions!B55+'Volume &amp; Funnel Build'!C26*Assumptions!B56+'Volume &amp; Funnel Build'!C27*Assumptions!B57</f>
        <v>690.179998274997</v>
      </c>
      <c r="D13" s="43" t="n">
        <f aca="false">'Volume &amp; Funnel Build'!D25*Assumptions!B55+'Volume &amp; Funnel Build'!D26*Assumptions!B56+'Volume &amp; Funnel Build'!D27*Assumptions!B57</f>
        <v>710.967805998321</v>
      </c>
      <c r="E13" s="43" t="n">
        <f aca="false">'Volume &amp; Funnel Build'!E25*Assumptions!B55+'Volume &amp; Funnel Build'!E26*Assumptions!B56+'Volume &amp; Funnel Build'!E27*Assumptions!B57</f>
        <v>732.381730026119</v>
      </c>
      <c r="F13" s="43" t="n">
        <f aca="false">'Volume &amp; Funnel Build'!F25*Assumptions!B55+'Volume &amp; Funnel Build'!F26*Assumptions!B56+'Volume &amp; Funnel Build'!F27*Assumptions!B57</f>
        <v>754.440628606069</v>
      </c>
      <c r="G13" s="43" t="n">
        <f aca="false">'Volume &amp; Funnel Build'!G25*Assumptions!B55+'Volume &amp; Funnel Build'!G26*Assumptions!B56+'Volume &amp; Funnel Build'!G27*Assumptions!B57</f>
        <v>777.163927984963</v>
      </c>
      <c r="H13" s="43" t="n">
        <f aca="false">'Volume &amp; Funnel Build'!H25*Assumptions!B55+'Volume &amp; Funnel Build'!H26*Assumptions!B56+'Volume &amp; Funnel Build'!H27*Assumptions!B57</f>
        <v>800.571639516495</v>
      </c>
      <c r="I13" s="43" t="n">
        <f aca="false">'Volume &amp; Funnel Build'!I25*Assumptions!B55+'Volume &amp; Funnel Build'!I26*Assumptions!B56+'Volume &amp; Funnel Build'!I27*Assumptions!B57</f>
        <v>824.684377284337</v>
      </c>
      <c r="J13" s="43" t="n">
        <f aca="false">'Volume &amp; Funnel Build'!J25*Assumptions!B55+'Volume &amp; Funnel Build'!J26*Assumptions!B56+'Volume &amp; Funnel Build'!J27*Assumptions!B57</f>
        <v>849.523376256002</v>
      </c>
      <c r="K13" s="43" t="n">
        <f aca="false">'Volume &amp; Funnel Build'!K25*Assumptions!B55+'Volume &amp; Funnel Build'!K26*Assumptions!B56+'Volume &amp; Funnel Build'!K27*Assumptions!B57</f>
        <v>875.110510983488</v>
      </c>
      <c r="L13" s="43" t="n">
        <f aca="false">'Volume &amp; Funnel Build'!L25*Assumptions!B55+'Volume &amp; Funnel Build'!L26*Assumptions!B56+'Volume &amp; Funnel Build'!L27*Assumptions!B57</f>
        <v>901.468314867188</v>
      </c>
      <c r="M13" s="43" t="n">
        <f aca="false">'Volume &amp; Funnel Build'!M25*Assumptions!B55+'Volume &amp; Funnel Build'!M26*Assumptions!B56+'Volume &amp; Funnel Build'!M27*Assumptions!B57</f>
        <v>928.620000000001</v>
      </c>
      <c r="N13" s="44" t="n">
        <f aca="false">'Volume &amp; Funnel Build'!N25*Assumptions!B55+'Volume &amp; Funnel Build'!N26*Assumptions!B56+'Volume &amp; Funnel Build'!N27*Assumptions!B57</f>
        <v>928.620000000001</v>
      </c>
      <c r="O13" s="43" t="n">
        <f aca="false">'Volume &amp; Funnel Build'!O25*Assumptions!B55+'Volume &amp; Funnel Build'!O26*Assumptions!B56+'Volume &amp; Funnel Build'!O27*Assumptions!B57</f>
        <v>1245.19704717645</v>
      </c>
      <c r="P13" s="43" t="n">
        <f aca="false">'Volume &amp; Funnel Build'!P25*Assumptions!B55+'Volume &amp; Funnel Build'!P26*Assumptions!B56+'Volume &amp; Funnel Build'!P27*Assumptions!B57</f>
        <v>1669.69878561408</v>
      </c>
      <c r="Q13" s="43" t="n">
        <f aca="false">'Volume &amp; Funnel Build'!Q25*Assumptions!B55+'Volume &amp; Funnel Build'!Q26*Assumptions!B56+'Volume &amp; Funnel Build'!Q27*Assumptions!B57</f>
        <v>2238.91796162127</v>
      </c>
      <c r="R13" s="43" t="n">
        <f aca="false">'Volume &amp; Funnel Build'!R25*Assumptions!B55+'Volume &amp; Funnel Build'!R26*Assumptions!B56+'Volume &amp; Funnel Build'!R27*Assumptions!B57</f>
        <v>3002.19038431341</v>
      </c>
      <c r="S13" s="43" t="n">
        <f aca="false">'Volume &amp; Funnel Build'!S25*Assumptions!B55+'Volume &amp; Funnel Build'!S26*Assumptions!B56+'Volume &amp; Funnel Build'!S27*Assumptions!B57</f>
        <v>4025.67099740322</v>
      </c>
      <c r="T13" s="43" t="n">
        <f aca="false">'Volume &amp; Funnel Build'!T25*Assumptions!B55+'Volume &amp; Funnel Build'!T26*Assumptions!B56+'Volume &amp; Funnel Build'!T27*Assumptions!B57</f>
        <v>5398.06771216467</v>
      </c>
      <c r="U13" s="43" t="n">
        <f aca="false">'Volume &amp; Funnel Build'!U25*Assumptions!B55+'Volume &amp; Funnel Build'!U26*Assumptions!B56+'Volume &amp; Funnel Build'!U27*Assumptions!B57</f>
        <v>7238.32996882035</v>
      </c>
      <c r="V13" s="43" t="n">
        <f aca="false">'Volume &amp; Funnel Build'!V25*Assumptions!B55+'Volume &amp; Funnel Build'!V26*Assumptions!B56+'Volume &amp; Funnel Build'!V27*Assumptions!B57</f>
        <v>9705.95841535169</v>
      </c>
      <c r="W13" s="43" t="n">
        <f aca="false">'Volume &amp; Funnel Build'!W25*Assumptions!B55+'Volume &amp; Funnel Build'!W26*Assumptions!B56+'Volume &amp; Funnel Build'!W27*Assumptions!B57</f>
        <v>13014.8292722678</v>
      </c>
      <c r="X13" s="43" t="n">
        <f aca="false">'Volume &amp; Funnel Build'!X25*Assumptions!B55+'Volume &amp; Funnel Build'!X26*Assumptions!B56+'Volume &amp; Funnel Build'!X27*Assumptions!B57</f>
        <v>17451.7315794765</v>
      </c>
      <c r="Y13" s="43" t="n">
        <f aca="false">'Volume &amp; Funnel Build'!Y25*Assumptions!B55+'Volume &amp; Funnel Build'!Y26*Assumptions!B56+'Volume &amp; Funnel Build'!Y27*Assumptions!B57</f>
        <v>23401.224</v>
      </c>
      <c r="Z13" s="44" t="n">
        <f aca="false">'Volume &amp; Funnel Build'!Z25*Assumptions!B55+'Volume &amp; Funnel Build'!Z26*Assumptions!B56+'Volume &amp; Funnel Build'!Z27*Assumptions!B57</f>
        <v>23401.224</v>
      </c>
      <c r="AA13" s="43" t="n">
        <f aca="false">'Volume &amp; Funnel Build'!AA25*Assumptions!B55+'Volume &amp; Funnel Build'!AA26*Assumptions!B56+'Volume &amp; Funnel Build'!AA27*Assumptions!B57</f>
        <v>25190.2193266728</v>
      </c>
      <c r="AB13" s="43" t="n">
        <f aca="false">'Volume &amp; Funnel Build'!AB25*Assumptions!B55+'Volume &amp; Funnel Build'!AB26*Assumptions!B56+'Volume &amp; Funnel Build'!AB27*Assumptions!B57</f>
        <v>27115.9811865344</v>
      </c>
      <c r="AC13" s="43" t="n">
        <f aca="false">'Volume &amp; Funnel Build'!AC25*Assumptions!B55+'Volume &amp; Funnel Build'!AC26*Assumptions!B56+'Volume &amp; Funnel Build'!AC27*Assumptions!B57</f>
        <v>29188.9652159534</v>
      </c>
      <c r="AD13" s="43" t="n">
        <f aca="false">'Volume &amp; Funnel Build'!AD25*Assumptions!B55+'Volume &amp; Funnel Build'!AD26*Assumptions!B56+'Volume &amp; Funnel Build'!AD27*Assumptions!B57</f>
        <v>31420.4263720772</v>
      </c>
      <c r="AE13" s="43" t="n">
        <f aca="false">'Volume &amp; Funnel Build'!AE25*Assumptions!B55+'Volume &amp; Funnel Build'!AE26*Assumptions!B56+'Volume &amp; Funnel Build'!AE27*Assumptions!B57</f>
        <v>33822.4800399414</v>
      </c>
      <c r="AF13" s="43" t="n">
        <f aca="false">'Volume &amp; Funnel Build'!AF25*Assumptions!B55+'Volume &amp; Funnel Build'!AF26*Assumptions!B56+'Volume &amp; Funnel Build'!AF27*Assumptions!B57</f>
        <v>36408.1678111425</v>
      </c>
      <c r="AG13" s="43" t="n">
        <f aca="false">'Volume &amp; Funnel Build'!AG25*Assumptions!B55+'Volume &amp; Funnel Build'!AG26*Assumptions!B56+'Volume &amp; Funnel Build'!AG27*Assumptions!B57</f>
        <v>39191.5282912118</v>
      </c>
      <c r="AH13" s="43" t="n">
        <f aca="false">'Volume &amp; Funnel Build'!AH25*Assumptions!B55+'Volume &amp; Funnel Build'!AH26*Assumptions!B56+'Volume &amp; Funnel Build'!AH27*Assumptions!B57</f>
        <v>42187.6733201274</v>
      </c>
      <c r="AI13" s="43" t="n">
        <f aca="false">'Volume &amp; Funnel Build'!AI25*Assumptions!B55+'Volume &amp; Funnel Build'!AI26*Assumptions!B56+'Volume &amp; Funnel Build'!AI27*Assumptions!B57</f>
        <v>45412.8700197917</v>
      </c>
      <c r="AJ13" s="43" t="n">
        <f aca="false">'Volume &amp; Funnel Build'!AJ25*Assumptions!B55+'Volume &amp; Funnel Build'!AJ26*Assumptions!B56+'Volume &amp; Funnel Build'!AJ27*Assumptions!B57</f>
        <v>48884.62911394</v>
      </c>
      <c r="AK13" s="43" t="n">
        <f aca="false">'Volume &amp; Funnel Build'!AK25*Assumptions!B55+'Volume &amp; Funnel Build'!AK26*Assumptions!B56+'Volume &amp; Funnel Build'!AK27*Assumptions!B57</f>
        <v>52621.8</v>
      </c>
      <c r="AL13" s="44" t="n">
        <f aca="false">SUM(B13:M13)</f>
        <v>9515.11230979798</v>
      </c>
      <c r="AM13" s="43" t="n">
        <f aca="false">SUM(N13:Y13)</f>
        <v>89320.4361242094</v>
      </c>
      <c r="AN13" s="43" t="n">
        <f aca="false">SUM(Z13:AK13)</f>
        <v>434845.964697393</v>
      </c>
    </row>
    <row r="14" customFormat="false" ht="14.25" hidden="false" customHeight="false" outlineLevel="0" collapsed="false">
      <c r="A14" s="60" t="s">
        <v>211</v>
      </c>
      <c r="B14" s="61" t="n">
        <f aca="false">SUM(B8:B13)</f>
        <v>7022.27</v>
      </c>
      <c r="C14" s="61" t="n">
        <f aca="false">SUM(C8:C13)</f>
        <v>7406.6835082899</v>
      </c>
      <c r="D14" s="61" t="n">
        <f aca="false">SUM(D8:D13)</f>
        <v>7814.98016607733</v>
      </c>
      <c r="E14" s="61" t="n">
        <f aca="false">SUM(E8:E13)</f>
        <v>8248.79762195942</v>
      </c>
      <c r="F14" s="61" t="n">
        <f aca="false">SUM(F8:F13)</f>
        <v>8709.89327856759</v>
      </c>
      <c r="G14" s="61" t="n">
        <f aca="false">SUM(G8:G13)</f>
        <v>9200.15338149623</v>
      </c>
      <c r="H14" s="61" t="n">
        <f aca="false">SUM(H8:H13)</f>
        <v>9721.6028120112</v>
      </c>
      <c r="I14" s="61" t="n">
        <f aca="false">SUM(I8:I13)</f>
        <v>10276.4156386033</v>
      </c>
      <c r="J14" s="61" t="n">
        <f aca="false">SUM(J8:J13)</f>
        <v>10866.9264867834</v>
      </c>
      <c r="K14" s="61" t="n">
        <f aca="false">SUM(K8:K13)</f>
        <v>11495.6427911889</v>
      </c>
      <c r="L14" s="61" t="n">
        <f aca="false">SUM(L8:L13)</f>
        <v>12165.2579991118</v>
      </c>
      <c r="M14" s="61" t="n">
        <f aca="false">SUM(M8:M13)</f>
        <v>12878.6658</v>
      </c>
      <c r="N14" s="62" t="n">
        <f aca="false">SUM(N8:N13)</f>
        <v>13004.90268</v>
      </c>
      <c r="O14" s="61" t="n">
        <f aca="false">SUM(O8:O13)</f>
        <v>17235.6311729412</v>
      </c>
      <c r="P14" s="61" t="n">
        <f aca="false">SUM(P8:P13)</f>
        <v>22848.7013345871</v>
      </c>
      <c r="Q14" s="61" t="n">
        <f aca="false">SUM(Q8:Q13)</f>
        <v>30297.6871700768</v>
      </c>
      <c r="R14" s="61" t="n">
        <f aca="false">SUM(R8:R13)</f>
        <v>40185.5937133635</v>
      </c>
      <c r="S14" s="61" t="n">
        <f aca="false">SUM(S8:S13)</f>
        <v>53314.2778480324</v>
      </c>
      <c r="T14" s="61" t="n">
        <f aca="false">SUM(T8:T13)</f>
        <v>70750.2736679311</v>
      </c>
      <c r="U14" s="61" t="n">
        <f aca="false">SUM(U8:U13)</f>
        <v>93912.486314083</v>
      </c>
      <c r="V14" s="61" t="n">
        <f aca="false">SUM(V8:V13)</f>
        <v>124689.043942791</v>
      </c>
      <c r="W14" s="61" t="n">
        <f aca="false">SUM(W8:W13)</f>
        <v>165593.035050137</v>
      </c>
      <c r="X14" s="61" t="n">
        <f aca="false">SUM(X8:X13)</f>
        <v>219970.113408917</v>
      </c>
      <c r="Y14" s="61" t="n">
        <f aca="false">SUM(Y8:Y13)</f>
        <v>292275.30024</v>
      </c>
      <c r="Z14" s="62" t="n">
        <f aca="false">SUM(Z8:Z13)</f>
        <v>290579.3352</v>
      </c>
      <c r="AA14" s="61" t="n">
        <f aca="false">SUM(AA8:AA13)</f>
        <v>308069.455018682</v>
      </c>
      <c r="AB14" s="61" t="n">
        <f aca="false">SUM(AB8:AB13)</f>
        <v>326638.767964061</v>
      </c>
      <c r="AC14" s="61" t="n">
        <f aca="false">SUM(AC8:AC13)</f>
        <v>346355.339370583</v>
      </c>
      <c r="AD14" s="61" t="n">
        <f aca="false">SUM(AD8:AD13)</f>
        <v>367291.609468792</v>
      </c>
      <c r="AE14" s="61" t="n">
        <f aca="false">SUM(AE8:AE13)</f>
        <v>389524.679153226</v>
      </c>
      <c r="AF14" s="61" t="n">
        <f aca="false">SUM(AF8:AF13)</f>
        <v>413136.61467492</v>
      </c>
      <c r="AG14" s="61" t="n">
        <f aca="false">SUM(AG8:AG13)</f>
        <v>438214.772526707</v>
      </c>
      <c r="AH14" s="61" t="n">
        <f aca="false">SUM(AH8:AH13)</f>
        <v>464852.145875328</v>
      </c>
      <c r="AI14" s="61" t="n">
        <f aca="false">SUM(AI8:AI13)</f>
        <v>493147.733986139</v>
      </c>
      <c r="AJ14" s="61" t="n">
        <f aca="false">SUM(AJ8:AJ13)</f>
        <v>523206.936184164</v>
      </c>
      <c r="AK14" s="61" t="n">
        <f aca="false">SUM(AK8:AK13)</f>
        <v>555141.972</v>
      </c>
      <c r="AL14" s="62" t="n">
        <f aca="false">SUM(B14:M14)</f>
        <v>115807.289484089</v>
      </c>
      <c r="AM14" s="61" t="n">
        <f aca="false">SUM(N14:Y14)</f>
        <v>1144077.04654286</v>
      </c>
      <c r="AN14" s="61" t="n">
        <f aca="false">SUM(Z14:AK14)</f>
        <v>4916159.3614226</v>
      </c>
    </row>
    <row r="15" customFormat="false" ht="14.25" hidden="false" customHeight="false" outlineLevel="0" collapsed="false">
      <c r="N15" s="41"/>
      <c r="Z15" s="41"/>
      <c r="AL15" s="41"/>
    </row>
    <row r="16" customFormat="false" ht="18" hidden="false" customHeight="true" outlineLevel="0" collapsed="false">
      <c r="A16" s="57" t="s">
        <v>212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9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9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9"/>
      <c r="AM16" s="58"/>
      <c r="AN16" s="58"/>
    </row>
    <row r="17" customFormat="false" ht="14.25" hidden="false" customHeight="false" outlineLevel="0" collapsed="false">
      <c r="A17" s="45" t="s">
        <v>213</v>
      </c>
      <c r="B17" s="43" t="n">
        <f aca="false">-B8*(1-Assumptions!B40)</f>
        <v>-1169.4375</v>
      </c>
      <c r="C17" s="43" t="n">
        <f aca="false">-C8*(1-Assumptions!B40)</f>
        <v>-1216.25420385621</v>
      </c>
      <c r="D17" s="43" t="n">
        <f aca="false">-D8*(1-Assumptions!B40)</f>
        <v>-1264.94514533518</v>
      </c>
      <c r="E17" s="43" t="n">
        <f aca="false">-E8*(1-Assumptions!B40)</f>
        <v>-1315.58535677317</v>
      </c>
      <c r="F17" s="43" t="n">
        <f aca="false">-F8*(1-Assumptions!B40)</f>
        <v>-1368.25287431525</v>
      </c>
      <c r="G17" s="43" t="n">
        <f aca="false">-G8*(1-Assumptions!B40)</f>
        <v>-1423.02885816837</v>
      </c>
      <c r="H17" s="43" t="n">
        <f aca="false">-H8*(1-Assumptions!B40)</f>
        <v>-1479.99771766852</v>
      </c>
      <c r="I17" s="43" t="n">
        <f aca="false">-I8*(1-Assumptions!B40)</f>
        <v>-1539.24724135487</v>
      </c>
      <c r="J17" s="43" t="n">
        <f aca="false">-J8*(1-Assumptions!B40)</f>
        <v>-1600.86873225114</v>
      </c>
      <c r="K17" s="43" t="n">
        <f aca="false">-K8*(1-Assumptions!B40)</f>
        <v>-1664.95714856281</v>
      </c>
      <c r="L17" s="43" t="n">
        <f aca="false">-L8*(1-Assumptions!B40)</f>
        <v>-1731.61125000692</v>
      </c>
      <c r="M17" s="43" t="n">
        <f aca="false">-M8*(1-Assumptions!B40)</f>
        <v>-1800.93375</v>
      </c>
      <c r="N17" s="44" t="n">
        <f aca="false">-N8*(1-Assumptions!B40)</f>
        <v>-1728.8964</v>
      </c>
      <c r="O17" s="43" t="n">
        <f aca="false">-O8*(1-Assumptions!B40)</f>
        <v>-2248.45734084776</v>
      </c>
      <c r="P17" s="43" t="n">
        <f aca="false">-P8*(1-Assumptions!B40)</f>
        <v>-2924.15463044064</v>
      </c>
      <c r="Q17" s="43" t="n">
        <f aca="false">-Q8*(1-Assumptions!B40)</f>
        <v>-3802.90973165785</v>
      </c>
      <c r="R17" s="43" t="n">
        <f aca="false">-R8*(1-Assumptions!B40)</f>
        <v>-4945.74475528288</v>
      </c>
      <c r="S17" s="43" t="n">
        <f aca="false">-S8*(1-Assumptions!B40)</f>
        <v>-6432.01992957766</v>
      </c>
      <c r="T17" s="43" t="n">
        <f aca="false">-T8*(1-Assumptions!B40)</f>
        <v>-8364.94449704329</v>
      </c>
      <c r="U17" s="43" t="n">
        <f aca="false">-U8*(1-Assumptions!B40)</f>
        <v>-10878.7437235458</v>
      </c>
      <c r="V17" s="43" t="n">
        <f aca="false">-V8*(1-Assumptions!B40)</f>
        <v>-14147.9797079849</v>
      </c>
      <c r="W17" s="43" t="n">
        <f aca="false">-W8*(1-Assumptions!B40)</f>
        <v>-18399.6732439165</v>
      </c>
      <c r="X17" s="43" t="n">
        <f aca="false">-X8*(1-Assumptions!B40)</f>
        <v>-23929.0684939156</v>
      </c>
      <c r="Y17" s="43" t="n">
        <f aca="false">-Y8*(1-Assumptions!B40)</f>
        <v>-31120.1352</v>
      </c>
      <c r="Z17" s="44" t="n">
        <f aca="false">-Z8*(1-Assumptions!B40)</f>
        <v>-28814.94</v>
      </c>
      <c r="AA17" s="43" t="n">
        <f aca="false">-AA8*(1-Assumptions!B40)</f>
        <v>-30184.6252090331</v>
      </c>
      <c r="AB17" s="43" t="n">
        <f aca="false">-AB8*(1-Assumptions!B40)</f>
        <v>-31619.4168375779</v>
      </c>
      <c r="AC17" s="43" t="n">
        <f aca="false">-AC8*(1-Assumptions!B40)</f>
        <v>-33122.409644805</v>
      </c>
      <c r="AD17" s="43" t="n">
        <f aca="false">-AD8*(1-Assumptions!B40)</f>
        <v>-34696.8454957221</v>
      </c>
      <c r="AE17" s="43" t="n">
        <f aca="false">-AE8*(1-Assumptions!B40)</f>
        <v>-36346.120353681</v>
      </c>
      <c r="AF17" s="43" t="n">
        <f aca="false">-AF8*(1-Assumptions!B40)</f>
        <v>-38073.7916052669</v>
      </c>
      <c r="AG17" s="43" t="n">
        <f aca="false">-AG8*(1-Assumptions!B40)</f>
        <v>-39883.5857333665</v>
      </c>
      <c r="AH17" s="43" t="n">
        <f aca="false">-AH8*(1-Assumptions!B40)</f>
        <v>-41779.4063549675</v>
      </c>
      <c r="AI17" s="43" t="n">
        <f aca="false">-AI8*(1-Assumptions!B40)</f>
        <v>-43765.3426410254</v>
      </c>
      <c r="AJ17" s="43" t="n">
        <f aca="false">-AJ8*(1-Assumptions!B40)</f>
        <v>-45845.6781365592</v>
      </c>
      <c r="AK17" s="43" t="n">
        <f aca="false">-AK8*(1-Assumptions!B40)</f>
        <v>-48024.9</v>
      </c>
      <c r="AL17" s="44" t="n">
        <f aca="false">SUM(B17:M17)</f>
        <v>-17575.1197782924</v>
      </c>
      <c r="AM17" s="43" t="n">
        <f aca="false">SUM(N17:Y17)</f>
        <v>-128922.727654213</v>
      </c>
      <c r="AN17" s="43" t="n">
        <f aca="false">SUM(Z17:AK17)</f>
        <v>-452157.062012005</v>
      </c>
    </row>
    <row r="18" customFormat="false" ht="14.25" hidden="false" customHeight="false" outlineLevel="0" collapsed="false">
      <c r="A18" s="45" t="s">
        <v>214</v>
      </c>
      <c r="B18" s="43" t="n">
        <f aca="false">-B9*(1-Assumptions!B41)</f>
        <v>-12.25125</v>
      </c>
      <c r="C18" s="43" t="n">
        <f aca="false">-C9*(1-Assumptions!B41)</f>
        <v>-12.7417107070651</v>
      </c>
      <c r="D18" s="43" t="n">
        <f aca="false">-D9*(1-Assumptions!B41)</f>
        <v>-13.2518062844638</v>
      </c>
      <c r="E18" s="43" t="n">
        <f aca="false">-E9*(1-Assumptions!B41)</f>
        <v>-13.7823227852427</v>
      </c>
      <c r="F18" s="43" t="n">
        <f aca="false">-F9*(1-Assumptions!B41)</f>
        <v>-14.3340777309217</v>
      </c>
      <c r="G18" s="43" t="n">
        <f aca="false">-G9*(1-Assumptions!B41)</f>
        <v>-14.9079213712877</v>
      </c>
      <c r="H18" s="43" t="n">
        <f aca="false">-H9*(1-Assumptions!B41)</f>
        <v>-15.5047379946226</v>
      </c>
      <c r="I18" s="43" t="n">
        <f aca="false">-I9*(1-Assumptions!B41)</f>
        <v>-16.1254472903844</v>
      </c>
      <c r="J18" s="43" t="n">
        <f aca="false">-J9*(1-Assumptions!B41)</f>
        <v>-16.7710057664406</v>
      </c>
      <c r="K18" s="43" t="n">
        <f aca="false">-K9*(1-Assumptions!B41)</f>
        <v>-17.4424082230389</v>
      </c>
      <c r="L18" s="43" t="n">
        <f aca="false">-L9*(1-Assumptions!B41)</f>
        <v>-18.1406892857868</v>
      </c>
      <c r="M18" s="43" t="n">
        <f aca="false">-M9*(1-Assumptions!B41)</f>
        <v>-18.866925</v>
      </c>
      <c r="N18" s="44" t="n">
        <f aca="false">-N9*(1-Assumptions!B41)</f>
        <v>-36.2244960000001</v>
      </c>
      <c r="O18" s="43" t="n">
        <f aca="false">-O9*(1-Assumptions!B41)</f>
        <v>-47.1105347606197</v>
      </c>
      <c r="P18" s="43" t="n">
        <f aca="false">-P9*(1-Assumptions!B41)</f>
        <v>-61.2680017806612</v>
      </c>
      <c r="Q18" s="43" t="n">
        <f aca="false">-Q9*(1-Assumptions!B41)</f>
        <v>-79.6800134252121</v>
      </c>
      <c r="R18" s="43" t="n">
        <f aca="false">-R9*(1-Assumptions!B41)</f>
        <v>-103.625128205927</v>
      </c>
      <c r="S18" s="43" t="n">
        <f aca="false">-S9*(1-Assumptions!B41)</f>
        <v>-134.766131857818</v>
      </c>
      <c r="T18" s="43" t="n">
        <f aca="false">-T9*(1-Assumptions!B41)</f>
        <v>-175.265503747574</v>
      </c>
      <c r="U18" s="43" t="n">
        <f aca="false">-U9*(1-Assumptions!B41)</f>
        <v>-227.935582779056</v>
      </c>
      <c r="V18" s="43" t="n">
        <f aca="false">-V9*(1-Assumptions!B41)</f>
        <v>-296.433860548255</v>
      </c>
      <c r="W18" s="43" t="n">
        <f aca="false">-W9*(1-Assumptions!B41)</f>
        <v>-385.516963205871</v>
      </c>
      <c r="X18" s="43" t="n">
        <f aca="false">-X9*(1-Assumptions!B41)</f>
        <v>-501.370958920138</v>
      </c>
      <c r="Y18" s="43" t="n">
        <f aca="false">-Y9*(1-Assumptions!B41)</f>
        <v>-652.040928000002</v>
      </c>
      <c r="Z18" s="44" t="n">
        <f aca="false">-Z9*(1-Assumptions!B41)</f>
        <v>-905.612400000002</v>
      </c>
      <c r="AA18" s="43" t="n">
        <f aca="false">-AA9*(1-Assumptions!B41)</f>
        <v>-948.659649426756</v>
      </c>
      <c r="AB18" s="43" t="n">
        <f aca="false">-AB9*(1-Assumptions!B41)</f>
        <v>-993.753100609591</v>
      </c>
      <c r="AC18" s="43" t="n">
        <f aca="false">-AC9*(1-Assumptions!B41)</f>
        <v>-1040.99001740816</v>
      </c>
      <c r="AD18" s="43" t="n">
        <f aca="false">-AD9*(1-Assumptions!B41)</f>
        <v>-1090.47228700841</v>
      </c>
      <c r="AE18" s="43" t="n">
        <f aca="false">-AE9*(1-Assumptions!B41)</f>
        <v>-1142.30663968712</v>
      </c>
      <c r="AF18" s="43" t="n">
        <f aca="false">-AF9*(1-Assumptions!B41)</f>
        <v>-1196.60487902268</v>
      </c>
      <c r="AG18" s="43" t="n">
        <f aca="false">-AG9*(1-Assumptions!B41)</f>
        <v>-1253.48412304866</v>
      </c>
      <c r="AH18" s="43" t="n">
        <f aca="false">-AH9*(1-Assumptions!B41)</f>
        <v>-1313.06705687041</v>
      </c>
      <c r="AI18" s="43" t="n">
        <f aca="false">-AI9*(1-Assumptions!B41)</f>
        <v>-1375.48219728937</v>
      </c>
      <c r="AJ18" s="43" t="n">
        <f aca="false">-AJ9*(1-Assumptions!B41)</f>
        <v>-1440.86417000615</v>
      </c>
      <c r="AK18" s="43" t="n">
        <f aca="false">-AK9*(1-Assumptions!B41)</f>
        <v>-1509.354</v>
      </c>
      <c r="AL18" s="44" t="n">
        <f aca="false">SUM(B18:M18)</f>
        <v>-184.120302439254</v>
      </c>
      <c r="AM18" s="43" t="n">
        <f aca="false">SUM(N18:Y18)</f>
        <v>-2701.23810323113</v>
      </c>
      <c r="AN18" s="43" t="n">
        <f aca="false">SUM(Z18:AK18)</f>
        <v>-14210.6505203773</v>
      </c>
    </row>
    <row r="19" customFormat="false" ht="14.25" hidden="false" customHeight="false" outlineLevel="0" collapsed="false">
      <c r="A19" s="45" t="s">
        <v>215</v>
      </c>
      <c r="B19" s="43" t="n">
        <f aca="false">-B10*(1-Assumptions!B42)</f>
        <v>-0</v>
      </c>
      <c r="C19" s="43" t="n">
        <f aca="false">-C10*(1-Assumptions!B42)</f>
        <v>-0</v>
      </c>
      <c r="D19" s="43" t="n">
        <f aca="false">-D10*(1-Assumptions!B42)</f>
        <v>-0</v>
      </c>
      <c r="E19" s="43" t="n">
        <f aca="false">-E10*(1-Assumptions!B42)</f>
        <v>-0</v>
      </c>
      <c r="F19" s="43" t="n">
        <f aca="false">-F10*(1-Assumptions!B42)</f>
        <v>-0</v>
      </c>
      <c r="G19" s="43" t="n">
        <f aca="false">-G10*(1-Assumptions!B42)</f>
        <v>-0</v>
      </c>
      <c r="H19" s="43" t="n">
        <f aca="false">-H10*(1-Assumptions!B42)</f>
        <v>-0</v>
      </c>
      <c r="I19" s="43" t="n">
        <f aca="false">-I10*(1-Assumptions!B42)</f>
        <v>-0</v>
      </c>
      <c r="J19" s="43" t="n">
        <f aca="false">-J10*(1-Assumptions!B42)</f>
        <v>-0</v>
      </c>
      <c r="K19" s="43" t="n">
        <f aca="false">-K10*(1-Assumptions!B42)</f>
        <v>-0</v>
      </c>
      <c r="L19" s="43" t="n">
        <f aca="false">-L10*(1-Assumptions!B42)</f>
        <v>-0</v>
      </c>
      <c r="M19" s="43" t="n">
        <f aca="false">-M10*(1-Assumptions!B42)</f>
        <v>-0</v>
      </c>
      <c r="N19" s="44" t="n">
        <f aca="false">-N10*(1-Assumptions!B42)</f>
        <v>-0</v>
      </c>
      <c r="O19" s="43" t="n">
        <f aca="false">-O10*(1-Assumptions!B42)</f>
        <v>-0</v>
      </c>
      <c r="P19" s="43" t="n">
        <f aca="false">-P10*(1-Assumptions!B42)</f>
        <v>-0</v>
      </c>
      <c r="Q19" s="43" t="n">
        <f aca="false">-Q10*(1-Assumptions!B42)</f>
        <v>-0</v>
      </c>
      <c r="R19" s="43" t="n">
        <f aca="false">-R10*(1-Assumptions!B42)</f>
        <v>-0</v>
      </c>
      <c r="S19" s="43" t="n">
        <f aca="false">-S10*(1-Assumptions!B42)</f>
        <v>-0</v>
      </c>
      <c r="T19" s="43" t="n">
        <f aca="false">-T10*(1-Assumptions!B42)</f>
        <v>-0</v>
      </c>
      <c r="U19" s="43" t="n">
        <f aca="false">-U10*(1-Assumptions!B42)</f>
        <v>-0</v>
      </c>
      <c r="V19" s="43" t="n">
        <f aca="false">-V10*(1-Assumptions!B42)</f>
        <v>-0</v>
      </c>
      <c r="W19" s="43" t="n">
        <f aca="false">-W10*(1-Assumptions!B42)</f>
        <v>-0</v>
      </c>
      <c r="X19" s="43" t="n">
        <f aca="false">-X10*(1-Assumptions!B42)</f>
        <v>-0</v>
      </c>
      <c r="Y19" s="43" t="n">
        <f aca="false">-Y10*(1-Assumptions!B42)</f>
        <v>-0</v>
      </c>
      <c r="Z19" s="44" t="n">
        <f aca="false">-Z10*(1-Assumptions!B42)</f>
        <v>-0</v>
      </c>
      <c r="AA19" s="43" t="n">
        <f aca="false">-AA10*(1-Assumptions!B42)</f>
        <v>-0</v>
      </c>
      <c r="AB19" s="43" t="n">
        <f aca="false">-AB10*(1-Assumptions!B42)</f>
        <v>-0</v>
      </c>
      <c r="AC19" s="43" t="n">
        <f aca="false">-AC10*(1-Assumptions!B42)</f>
        <v>-0</v>
      </c>
      <c r="AD19" s="43" t="n">
        <f aca="false">-AD10*(1-Assumptions!B42)</f>
        <v>-0</v>
      </c>
      <c r="AE19" s="43" t="n">
        <f aca="false">-AE10*(1-Assumptions!B42)</f>
        <v>-0</v>
      </c>
      <c r="AF19" s="43" t="n">
        <f aca="false">-AF10*(1-Assumptions!B42)</f>
        <v>-0</v>
      </c>
      <c r="AG19" s="43" t="n">
        <f aca="false">-AG10*(1-Assumptions!B42)</f>
        <v>-0</v>
      </c>
      <c r="AH19" s="43" t="n">
        <f aca="false">-AH10*(1-Assumptions!B42)</f>
        <v>-0</v>
      </c>
      <c r="AI19" s="43" t="n">
        <f aca="false">-AI10*(1-Assumptions!B42)</f>
        <v>-0</v>
      </c>
      <c r="AJ19" s="43" t="n">
        <f aca="false">-AJ10*(1-Assumptions!B42)</f>
        <v>-0</v>
      </c>
      <c r="AK19" s="43" t="n">
        <f aca="false">-AK10*(1-Assumptions!B42)</f>
        <v>-0</v>
      </c>
      <c r="AL19" s="44" t="n">
        <f aca="false">SUM(B19:M19)</f>
        <v>0</v>
      </c>
      <c r="AM19" s="43" t="n">
        <f aca="false">SUM(N19:Y19)</f>
        <v>0</v>
      </c>
      <c r="AN19" s="43" t="n">
        <f aca="false">SUM(Z19:AK19)</f>
        <v>0</v>
      </c>
    </row>
    <row r="20" customFormat="false" ht="14.25" hidden="false" customHeight="false" outlineLevel="0" collapsed="false">
      <c r="A20" s="45" t="s">
        <v>216</v>
      </c>
      <c r="B20" s="43" t="n">
        <f aca="false">-B11*(1-Assumptions!B43)</f>
        <v>17.15175</v>
      </c>
      <c r="C20" s="43" t="n">
        <f aca="false">-C11*(1-Assumptions!B43)</f>
        <v>17.8383949898911</v>
      </c>
      <c r="D20" s="43" t="n">
        <f aca="false">-D11*(1-Assumptions!B43)</f>
        <v>18.5525287982493</v>
      </c>
      <c r="E20" s="43" t="n">
        <f aca="false">-E11*(1-Assumptions!B43)</f>
        <v>19.2952518993398</v>
      </c>
      <c r="F20" s="43" t="n">
        <f aca="false">-F11*(1-Assumptions!B43)</f>
        <v>20.0677088232903</v>
      </c>
      <c r="G20" s="43" t="n">
        <f aca="false">-G11*(1-Assumptions!B43)</f>
        <v>20.8710899198027</v>
      </c>
      <c r="H20" s="43" t="n">
        <f aca="false">-H11*(1-Assumptions!B43)</f>
        <v>21.7066331924717</v>
      </c>
      <c r="I20" s="43" t="n">
        <f aca="false">-I11*(1-Assumptions!B43)</f>
        <v>22.5756262065382</v>
      </c>
      <c r="J20" s="43" t="n">
        <f aca="false">-J11*(1-Assumptions!B43)</f>
        <v>23.4794080730167</v>
      </c>
      <c r="K20" s="43" t="n">
        <f aca="false">-K11*(1-Assumptions!B43)</f>
        <v>24.4193715122545</v>
      </c>
      <c r="L20" s="43" t="n">
        <f aca="false">-L11*(1-Assumptions!B43)</f>
        <v>25.3969650001015</v>
      </c>
      <c r="M20" s="43" t="n">
        <f aca="false">-M11*(1-Assumptions!B43)</f>
        <v>26.413695</v>
      </c>
      <c r="N20" s="44" t="n">
        <f aca="false">-N11*(1-Assumptions!B43)</f>
        <v>31.696434</v>
      </c>
      <c r="O20" s="43" t="n">
        <f aca="false">-O11*(1-Assumptions!B43)</f>
        <v>41.2217179155422</v>
      </c>
      <c r="P20" s="43" t="n">
        <f aca="false">-P11*(1-Assumptions!B43)</f>
        <v>53.6095015580785</v>
      </c>
      <c r="Q20" s="43" t="n">
        <f aca="false">-Q11*(1-Assumptions!B43)</f>
        <v>69.7200117470605</v>
      </c>
      <c r="R20" s="43" t="n">
        <f aca="false">-R11*(1-Assumptions!B43)</f>
        <v>90.6719871801861</v>
      </c>
      <c r="S20" s="43" t="n">
        <f aca="false">-S11*(1-Assumptions!B43)</f>
        <v>117.92036537559</v>
      </c>
      <c r="T20" s="43" t="n">
        <f aca="false">-T11*(1-Assumptions!B43)</f>
        <v>153.357315779127</v>
      </c>
      <c r="U20" s="43" t="n">
        <f aca="false">-U11*(1-Assumptions!B43)</f>
        <v>199.443634931674</v>
      </c>
      <c r="V20" s="43" t="n">
        <f aca="false">-V11*(1-Assumptions!B43)</f>
        <v>259.379627979723</v>
      </c>
      <c r="W20" s="43" t="n">
        <f aca="false">-W11*(1-Assumptions!B43)</f>
        <v>337.327342805137</v>
      </c>
      <c r="X20" s="43" t="n">
        <f aca="false">-X11*(1-Assumptions!B43)</f>
        <v>438.69958905512</v>
      </c>
      <c r="Y20" s="43" t="n">
        <f aca="false">-Y11*(1-Assumptions!B43)</f>
        <v>570.535812000001</v>
      </c>
      <c r="Z20" s="44" t="n">
        <f aca="false">-Z11*(1-Assumptions!B43)</f>
        <v>633.928680000001</v>
      </c>
      <c r="AA20" s="43" t="n">
        <f aca="false">-AA11*(1-Assumptions!B43)</f>
        <v>664.061754598729</v>
      </c>
      <c r="AB20" s="43" t="n">
        <f aca="false">-AB11*(1-Assumptions!B43)</f>
        <v>695.627170426713</v>
      </c>
      <c r="AC20" s="43" t="n">
        <f aca="false">-AC11*(1-Assumptions!B43)</f>
        <v>728.69301218571</v>
      </c>
      <c r="AD20" s="43" t="n">
        <f aca="false">-AD11*(1-Assumptions!B43)</f>
        <v>763.330600905885</v>
      </c>
      <c r="AE20" s="43" t="n">
        <f aca="false">-AE11*(1-Assumptions!B43)</f>
        <v>799.614647780983</v>
      </c>
      <c r="AF20" s="43" t="n">
        <f aca="false">-AF11*(1-Assumptions!B43)</f>
        <v>837.623415315873</v>
      </c>
      <c r="AG20" s="43" t="n">
        <f aca="false">-AG11*(1-Assumptions!B43)</f>
        <v>877.438886134063</v>
      </c>
      <c r="AH20" s="43" t="n">
        <f aca="false">-AH11*(1-Assumptions!B43)</f>
        <v>919.146939809285</v>
      </c>
      <c r="AI20" s="43" t="n">
        <f aca="false">-AI11*(1-Assumptions!B43)</f>
        <v>962.837538102558</v>
      </c>
      <c r="AJ20" s="43" t="n">
        <f aca="false">-AJ11*(1-Assumptions!B43)</f>
        <v>1008.6049190043</v>
      </c>
      <c r="AK20" s="43" t="n">
        <f aca="false">-AK11*(1-Assumptions!B43)</f>
        <v>1056.5478</v>
      </c>
      <c r="AL20" s="44" t="n">
        <f aca="false">SUM(B20:M20)</f>
        <v>257.768423414956</v>
      </c>
      <c r="AM20" s="43" t="n">
        <f aca="false">SUM(N20:Y20)</f>
        <v>2363.58334032724</v>
      </c>
      <c r="AN20" s="43" t="n">
        <f aca="false">SUM(Z20:AK20)</f>
        <v>9947.4553642641</v>
      </c>
    </row>
    <row r="21" customFormat="false" ht="14.25" hidden="false" customHeight="false" outlineLevel="0" collapsed="false">
      <c r="A21" s="45" t="s">
        <v>217</v>
      </c>
      <c r="B21" s="43" t="n">
        <f aca="false">-B12*(1-Assumptions!B44)</f>
        <v>-1182.3</v>
      </c>
      <c r="C21" s="43" t="n">
        <f aca="false">-C12*(1-Assumptions!B44)</f>
        <v>-1275.80213362732</v>
      </c>
      <c r="D21" s="43" t="n">
        <f aca="false">-D12*(1-Assumptions!B44)</f>
        <v>-1376.69887859937</v>
      </c>
      <c r="E21" s="43" t="n">
        <f aca="false">-E12*(1-Assumptions!B44)</f>
        <v>-1485.57503736735</v>
      </c>
      <c r="F21" s="43" t="n">
        <f aca="false">-F12*(1-Assumptions!B44)</f>
        <v>-1603.06166145374</v>
      </c>
      <c r="G21" s="43" t="n">
        <f aca="false">-G12*(1-Assumptions!B44)</f>
        <v>-1729.83970905764</v>
      </c>
      <c r="H21" s="43" t="n">
        <f aca="false">-H12*(1-Assumptions!B44)</f>
        <v>-1866.64399192169</v>
      </c>
      <c r="I21" s="43" t="n">
        <f aca="false">-I12*(1-Assumptions!B44)</f>
        <v>-2014.26743433673</v>
      </c>
      <c r="J21" s="43" t="n">
        <f aca="false">-J12*(1-Assumptions!B44)</f>
        <v>-2173.56566896966</v>
      </c>
      <c r="K21" s="43" t="n">
        <f aca="false">-K12*(1-Assumptions!B44)</f>
        <v>-2345.46199615208</v>
      </c>
      <c r="L21" s="43" t="n">
        <f aca="false">-L12*(1-Assumptions!B44)</f>
        <v>-2530.95273537395</v>
      </c>
      <c r="M21" s="43" t="n">
        <f aca="false">-M12*(1-Assumptions!B44)</f>
        <v>-2731.113</v>
      </c>
      <c r="N21" s="44" t="n">
        <f aca="false">-N12*(1-Assumptions!B44)</f>
        <v>-2731.113</v>
      </c>
      <c r="O21" s="43" t="n">
        <f aca="false">-O12*(1-Assumptions!B44)</f>
        <v>-3671.57109331335</v>
      </c>
      <c r="P21" s="43" t="n">
        <f aca="false">-P12*(1-Assumptions!B44)</f>
        <v>-4935.87570095202</v>
      </c>
      <c r="Q21" s="43" t="n">
        <f aca="false">-Q12*(1-Assumptions!B44)</f>
        <v>-6635.54329088661</v>
      </c>
      <c r="R21" s="43" t="n">
        <f aca="false">-R12*(1-Assumptions!B44)</f>
        <v>-8920.49099954802</v>
      </c>
      <c r="S21" s="43" t="n">
        <f aca="false">-S12*(1-Assumptions!B44)</f>
        <v>-11992.2598926161</v>
      </c>
      <c r="T21" s="43" t="n">
        <f aca="false">-T12*(1-Assumptions!B44)</f>
        <v>-16121.7916524253</v>
      </c>
      <c r="U21" s="43" t="n">
        <f aca="false">-U12*(1-Assumptions!B44)</f>
        <v>-21673.3266633293</v>
      </c>
      <c r="V21" s="43" t="n">
        <f aca="false">-V12*(1-Assumptions!B44)</f>
        <v>-29136.531396913</v>
      </c>
      <c r="W21" s="43" t="n">
        <f aca="false">-W12*(1-Assumptions!B44)</f>
        <v>-39169.6888544423</v>
      </c>
      <c r="X21" s="43" t="n">
        <f aca="false">-X12*(1-Assumptions!B44)</f>
        <v>-52657.7616276032</v>
      </c>
      <c r="Y21" s="43" t="n">
        <f aca="false">-Y12*(1-Assumptions!B44)</f>
        <v>-70790.44896</v>
      </c>
      <c r="Z21" s="44" t="n">
        <f aca="false">-Z12*(1-Assumptions!B44)</f>
        <v>-70790.44896</v>
      </c>
      <c r="AA21" s="43" t="n">
        <f aca="false">-AA12*(1-Assumptions!B44)</f>
        <v>-75415.8617901378</v>
      </c>
      <c r="AB21" s="43" t="n">
        <f aca="false">-AB12*(1-Assumptions!B44)</f>
        <v>-80343.4968008594</v>
      </c>
      <c r="AC21" s="43" t="n">
        <f aca="false">-AC12*(1-Assumptions!B44)</f>
        <v>-85593.1010395726</v>
      </c>
      <c r="AD21" s="43" t="n">
        <f aca="false">-AD12*(1-Assumptions!B44)</f>
        <v>-91185.7118159701</v>
      </c>
      <c r="AE21" s="43" t="n">
        <f aca="false">-AE12*(1-Assumptions!B44)</f>
        <v>-97143.7410071276</v>
      </c>
      <c r="AF21" s="43" t="n">
        <f aca="false">-AF12*(1-Assumptions!B44)</f>
        <v>-103491.064871055</v>
      </c>
      <c r="AG21" s="43" t="n">
        <f aca="false">-AG12*(1-Assumptions!B44)</f>
        <v>-110253.11972862</v>
      </c>
      <c r="AH21" s="43" t="n">
        <f aca="false">-AH12*(1-Assumptions!B44)</f>
        <v>-117457.003897283</v>
      </c>
      <c r="AI21" s="43" t="n">
        <f aca="false">-AI12*(1-Assumptions!B44)</f>
        <v>-125131.586285128</v>
      </c>
      <c r="AJ21" s="43" t="n">
        <f aca="false">-AJ12*(1-Assumptions!B44)</f>
        <v>-133307.622080377</v>
      </c>
      <c r="AK21" s="43" t="n">
        <f aca="false">-AK12*(1-Assumptions!B44)</f>
        <v>-142017.876</v>
      </c>
      <c r="AL21" s="44" t="n">
        <f aca="false">SUM(B21:M21)</f>
        <v>-22315.2822468595</v>
      </c>
      <c r="AM21" s="43" t="n">
        <f aca="false">SUM(N21:Y21)</f>
        <v>-268436.403132029</v>
      </c>
      <c r="AN21" s="43" t="n">
        <f aca="false">SUM(Z21:AK21)</f>
        <v>-1232130.63427613</v>
      </c>
    </row>
    <row r="22" customFormat="false" ht="14.25" hidden="false" customHeight="false" outlineLevel="0" collapsed="false">
      <c r="A22" s="45" t="s">
        <v>218</v>
      </c>
      <c r="B22" s="43" t="n">
        <f aca="false">-B13*(1-Assumptions!B45)</f>
        <v>-268</v>
      </c>
      <c r="C22" s="43" t="n">
        <f aca="false">-C13*(1-Assumptions!B45)</f>
        <v>-276.071999309999</v>
      </c>
      <c r="D22" s="43" t="n">
        <f aca="false">-D13*(1-Assumptions!B45)</f>
        <v>-284.387122399328</v>
      </c>
      <c r="E22" s="43" t="n">
        <f aca="false">-E13*(1-Assumptions!B45)</f>
        <v>-292.952692010448</v>
      </c>
      <c r="F22" s="43" t="n">
        <f aca="false">-F13*(1-Assumptions!B45)</f>
        <v>-301.776251442428</v>
      </c>
      <c r="G22" s="43" t="n">
        <f aca="false">-G13*(1-Assumptions!B45)</f>
        <v>-310.865571193985</v>
      </c>
      <c r="H22" s="43" t="n">
        <f aca="false">-H13*(1-Assumptions!B45)</f>
        <v>-320.228655806598</v>
      </c>
      <c r="I22" s="43" t="n">
        <f aca="false">-I13*(1-Assumptions!B45)</f>
        <v>-329.873750913735</v>
      </c>
      <c r="J22" s="43" t="n">
        <f aca="false">-J13*(1-Assumptions!B45)</f>
        <v>-339.809350502401</v>
      </c>
      <c r="K22" s="43" t="n">
        <f aca="false">-K13*(1-Assumptions!B45)</f>
        <v>-350.044204393395</v>
      </c>
      <c r="L22" s="43" t="n">
        <f aca="false">-L13*(1-Assumptions!B45)</f>
        <v>-360.587325946875</v>
      </c>
      <c r="M22" s="43" t="n">
        <f aca="false">-M13*(1-Assumptions!B45)</f>
        <v>-371.448</v>
      </c>
      <c r="N22" s="44" t="n">
        <f aca="false">-N13*(1-Assumptions!B45)</f>
        <v>-371.448</v>
      </c>
      <c r="O22" s="43" t="n">
        <f aca="false">-O13*(1-Assumptions!B45)</f>
        <v>-498.078818870579</v>
      </c>
      <c r="P22" s="43" t="n">
        <f aca="false">-P13*(1-Assumptions!B45)</f>
        <v>-667.879514245631</v>
      </c>
      <c r="Q22" s="43" t="n">
        <f aca="false">-Q13*(1-Assumptions!B45)</f>
        <v>-895.567184648509</v>
      </c>
      <c r="R22" s="43" t="n">
        <f aca="false">-R13*(1-Assumptions!B45)</f>
        <v>-1200.87615372536</v>
      </c>
      <c r="S22" s="43" t="n">
        <f aca="false">-S13*(1-Assumptions!B45)</f>
        <v>-1610.26839896129</v>
      </c>
      <c r="T22" s="43" t="n">
        <f aca="false">-T13*(1-Assumptions!B45)</f>
        <v>-2159.22708486587</v>
      </c>
      <c r="U22" s="43" t="n">
        <f aca="false">-U13*(1-Assumptions!B45)</f>
        <v>-2895.33198752814</v>
      </c>
      <c r="V22" s="43" t="n">
        <f aca="false">-V13*(1-Assumptions!B45)</f>
        <v>-3882.38336614068</v>
      </c>
      <c r="W22" s="43" t="n">
        <f aca="false">-W13*(1-Assumptions!B45)</f>
        <v>-5205.93170890711</v>
      </c>
      <c r="X22" s="43" t="n">
        <f aca="false">-X13*(1-Assumptions!B45)</f>
        <v>-6980.69263179058</v>
      </c>
      <c r="Y22" s="43" t="n">
        <f aca="false">-Y13*(1-Assumptions!B45)</f>
        <v>-9360.48960000001</v>
      </c>
      <c r="Z22" s="44" t="n">
        <f aca="false">-Z13*(1-Assumptions!B45)</f>
        <v>-9360.48960000001</v>
      </c>
      <c r="AA22" s="43" t="n">
        <f aca="false">-AA13*(1-Assumptions!B45)</f>
        <v>-10076.0877306691</v>
      </c>
      <c r="AB22" s="43" t="n">
        <f aca="false">-AB13*(1-Assumptions!B45)</f>
        <v>-10846.3924746138</v>
      </c>
      <c r="AC22" s="43" t="n">
        <f aca="false">-AC13*(1-Assumptions!B45)</f>
        <v>-11675.5860863813</v>
      </c>
      <c r="AD22" s="43" t="n">
        <f aca="false">-AD13*(1-Assumptions!B45)</f>
        <v>-12568.1705488309</v>
      </c>
      <c r="AE22" s="43" t="n">
        <f aca="false">-AE13*(1-Assumptions!B45)</f>
        <v>-13528.9920159766</v>
      </c>
      <c r="AF22" s="43" t="n">
        <f aca="false">-AF13*(1-Assumptions!B45)</f>
        <v>-14563.267124457</v>
      </c>
      <c r="AG22" s="43" t="n">
        <f aca="false">-AG13*(1-Assumptions!B45)</f>
        <v>-15676.6113164847</v>
      </c>
      <c r="AH22" s="43" t="n">
        <f aca="false">-AH13*(1-Assumptions!B45)</f>
        <v>-16875.069328051</v>
      </c>
      <c r="AI22" s="43" t="n">
        <f aca="false">-AI13*(1-Assumptions!B45)</f>
        <v>-18165.1480079167</v>
      </c>
      <c r="AJ22" s="43" t="n">
        <f aca="false">-AJ13*(1-Assumptions!B45)</f>
        <v>-19553.851645576</v>
      </c>
      <c r="AK22" s="43" t="n">
        <f aca="false">-AK13*(1-Assumptions!B45)</f>
        <v>-21048.72</v>
      </c>
      <c r="AL22" s="44" t="n">
        <f aca="false">SUM(B22:M22)</f>
        <v>-3806.04492391919</v>
      </c>
      <c r="AM22" s="43" t="n">
        <f aca="false">SUM(N22:Y22)</f>
        <v>-35728.1744496838</v>
      </c>
      <c r="AN22" s="43" t="n">
        <f aca="false">SUM(Z22:AK22)</f>
        <v>-173938.385878957</v>
      </c>
    </row>
    <row r="23" customFormat="false" ht="14.25" hidden="false" customHeight="false" outlineLevel="0" collapsed="false">
      <c r="A23" s="60" t="s">
        <v>219</v>
      </c>
      <c r="B23" s="61" t="n">
        <f aca="false">SUM(B17:B22)</f>
        <v>-2614.837</v>
      </c>
      <c r="C23" s="61" t="n">
        <f aca="false">SUM(C17:C22)</f>
        <v>-2763.03165251071</v>
      </c>
      <c r="D23" s="61" t="n">
        <f aca="false">SUM(D17:D22)</f>
        <v>-2920.73042382009</v>
      </c>
      <c r="E23" s="61" t="n">
        <f aca="false">SUM(E17:E22)</f>
        <v>-3088.60015703687</v>
      </c>
      <c r="F23" s="61" t="n">
        <f aca="false">SUM(F17:F22)</f>
        <v>-3267.35715611905</v>
      </c>
      <c r="G23" s="61" t="n">
        <f aca="false">SUM(G17:G22)</f>
        <v>-3457.77096987148</v>
      </c>
      <c r="H23" s="61" t="n">
        <f aca="false">SUM(H17:H22)</f>
        <v>-3660.66847019896</v>
      </c>
      <c r="I23" s="61" t="n">
        <f aca="false">SUM(I17:I22)</f>
        <v>-3876.93824768918</v>
      </c>
      <c r="J23" s="61" t="n">
        <f aca="false">SUM(J17:J22)</f>
        <v>-4107.53534941663</v>
      </c>
      <c r="K23" s="61" t="n">
        <f aca="false">SUM(K17:K22)</f>
        <v>-4353.48638581906</v>
      </c>
      <c r="L23" s="61" t="n">
        <f aca="false">SUM(L17:L22)</f>
        <v>-4615.89503561343</v>
      </c>
      <c r="M23" s="61" t="n">
        <f aca="false">SUM(M17:M22)</f>
        <v>-4895.94798</v>
      </c>
      <c r="N23" s="62" t="n">
        <f aca="false">SUM(N17:N22)</f>
        <v>-4835.985462</v>
      </c>
      <c r="O23" s="61" t="n">
        <f aca="false">SUM(O17:O22)</f>
        <v>-6423.99606987676</v>
      </c>
      <c r="P23" s="61" t="n">
        <f aca="false">SUM(P17:P22)</f>
        <v>-8535.56834586088</v>
      </c>
      <c r="Q23" s="61" t="n">
        <f aca="false">SUM(Q17:Q22)</f>
        <v>-11343.9802088711</v>
      </c>
      <c r="R23" s="61" t="n">
        <f aca="false">SUM(R17:R22)</f>
        <v>-15080.065049582</v>
      </c>
      <c r="S23" s="61" t="n">
        <f aca="false">SUM(S17:S22)</f>
        <v>-20051.3939876373</v>
      </c>
      <c r="T23" s="61" t="n">
        <f aca="false">SUM(T17:T22)</f>
        <v>-26667.8714223029</v>
      </c>
      <c r="U23" s="61" t="n">
        <f aca="false">SUM(U17:U22)</f>
        <v>-35475.8943222506</v>
      </c>
      <c r="V23" s="61" t="n">
        <f aca="false">SUM(V17:V22)</f>
        <v>-47203.948703607</v>
      </c>
      <c r="W23" s="61" t="n">
        <f aca="false">SUM(W17:W22)</f>
        <v>-62823.4834276667</v>
      </c>
      <c r="X23" s="61" t="n">
        <f aca="false">SUM(X17:X22)</f>
        <v>-83630.1941231744</v>
      </c>
      <c r="Y23" s="61" t="n">
        <f aca="false">SUM(Y17:Y22)</f>
        <v>-111352.578876</v>
      </c>
      <c r="Z23" s="62" t="n">
        <f aca="false">SUM(Z17:Z22)</f>
        <v>-109237.56228</v>
      </c>
      <c r="AA23" s="61" t="n">
        <f aca="false">SUM(AA17:AA22)</f>
        <v>-115961.172624668</v>
      </c>
      <c r="AB23" s="61" t="n">
        <f aca="false">SUM(AB17:AB22)</f>
        <v>-123107.432043234</v>
      </c>
      <c r="AC23" s="61" t="n">
        <f aca="false">SUM(AC17:AC22)</f>
        <v>-130703.393775981</v>
      </c>
      <c r="AD23" s="61" t="n">
        <f aca="false">SUM(AD17:AD22)</f>
        <v>-138777.869546626</v>
      </c>
      <c r="AE23" s="61" t="n">
        <f aca="false">SUM(AE17:AE22)</f>
        <v>-147361.545368691</v>
      </c>
      <c r="AF23" s="61" t="n">
        <f aca="false">SUM(AF17:AF22)</f>
        <v>-156487.105064486</v>
      </c>
      <c r="AG23" s="61" t="n">
        <f aca="false">SUM(AG17:AG22)</f>
        <v>-166189.362015386</v>
      </c>
      <c r="AH23" s="61" t="n">
        <f aca="false">SUM(AH17:AH22)</f>
        <v>-176505.399697363</v>
      </c>
      <c r="AI23" s="61" t="n">
        <f aca="false">SUM(AI17:AI22)</f>
        <v>-187474.721593256</v>
      </c>
      <c r="AJ23" s="61" t="n">
        <f aca="false">SUM(AJ17:AJ22)</f>
        <v>-199139.411113514</v>
      </c>
      <c r="AK23" s="61" t="n">
        <f aca="false">SUM(AK17:AK22)</f>
        <v>-211544.3022</v>
      </c>
      <c r="AL23" s="62" t="n">
        <f aca="false">SUM(B23:M23)</f>
        <v>-43622.7988280955</v>
      </c>
      <c r="AM23" s="61" t="n">
        <f aca="false">SUM(N23:Y23)</f>
        <v>-433424.95999883</v>
      </c>
      <c r="AN23" s="61" t="n">
        <f aca="false">SUM(Z23:AK23)</f>
        <v>-1862489.2773232</v>
      </c>
    </row>
    <row r="24" customFormat="false" ht="14.25" hidden="false" customHeight="false" outlineLevel="0" collapsed="false">
      <c r="N24" s="41"/>
      <c r="Z24" s="41"/>
      <c r="AL24" s="41"/>
    </row>
    <row r="25" customFormat="false" ht="14.25" hidden="false" customHeight="false" outlineLevel="0" collapsed="false">
      <c r="A25" s="60" t="s">
        <v>220</v>
      </c>
      <c r="B25" s="61" t="n">
        <f aca="false">B14+B23</f>
        <v>4407.433</v>
      </c>
      <c r="C25" s="61" t="n">
        <f aca="false">C14+C23</f>
        <v>4643.65185577919</v>
      </c>
      <c r="D25" s="61" t="n">
        <f aca="false">D14+D23</f>
        <v>4894.24974225723</v>
      </c>
      <c r="E25" s="61" t="n">
        <f aca="false">E14+E23</f>
        <v>5160.19746492255</v>
      </c>
      <c r="F25" s="61" t="n">
        <f aca="false">F14+F23</f>
        <v>5442.53612244853</v>
      </c>
      <c r="G25" s="61" t="n">
        <f aca="false">G14+G23</f>
        <v>5742.38241162476</v>
      </c>
      <c r="H25" s="61" t="n">
        <f aca="false">H14+H23</f>
        <v>6060.93434181224</v>
      </c>
      <c r="I25" s="61" t="n">
        <f aca="false">I14+I23</f>
        <v>6399.47739091411</v>
      </c>
      <c r="J25" s="61" t="n">
        <f aca="false">J14+J23</f>
        <v>6759.39113736679</v>
      </c>
      <c r="K25" s="61" t="n">
        <f aca="false">K14+K23</f>
        <v>7142.15640536982</v>
      </c>
      <c r="L25" s="61" t="n">
        <f aca="false">L14+L23</f>
        <v>7549.36296349838</v>
      </c>
      <c r="M25" s="61" t="n">
        <f aca="false">M14+M23</f>
        <v>7982.71782</v>
      </c>
      <c r="N25" s="62" t="n">
        <f aca="false">N14+N23</f>
        <v>8168.917218</v>
      </c>
      <c r="O25" s="61" t="n">
        <f aca="false">O14+O23</f>
        <v>10811.6351030645</v>
      </c>
      <c r="P25" s="61" t="n">
        <f aca="false">P14+P23</f>
        <v>14313.1329887262</v>
      </c>
      <c r="Q25" s="61" t="n">
        <f aca="false">Q14+Q23</f>
        <v>18953.7069612057</v>
      </c>
      <c r="R25" s="61" t="n">
        <f aca="false">R14+R23</f>
        <v>25105.5286637815</v>
      </c>
      <c r="S25" s="61" t="n">
        <f aca="false">S14+S23</f>
        <v>33262.8838603951</v>
      </c>
      <c r="T25" s="61" t="n">
        <f aca="false">T14+T23</f>
        <v>44082.4022456282</v>
      </c>
      <c r="U25" s="61" t="n">
        <f aca="false">U14+U23</f>
        <v>58436.5919918324</v>
      </c>
      <c r="V25" s="61" t="n">
        <f aca="false">V14+V23</f>
        <v>77485.0952391839</v>
      </c>
      <c r="W25" s="61" t="n">
        <f aca="false">W14+W23</f>
        <v>102769.551622471</v>
      </c>
      <c r="X25" s="61" t="n">
        <f aca="false">X14+X23</f>
        <v>136339.919285742</v>
      </c>
      <c r="Y25" s="61" t="n">
        <f aca="false">Y14+Y23</f>
        <v>180922.721364</v>
      </c>
      <c r="Z25" s="62" t="n">
        <f aca="false">Z14+Z23</f>
        <v>181341.77292</v>
      </c>
      <c r="AA25" s="61" t="n">
        <f aca="false">AA14+AA23</f>
        <v>192108.282394014</v>
      </c>
      <c r="AB25" s="61" t="n">
        <f aca="false">AB14+AB23</f>
        <v>203531.335920827</v>
      </c>
      <c r="AC25" s="61" t="n">
        <f aca="false">AC14+AC23</f>
        <v>215651.945594601</v>
      </c>
      <c r="AD25" s="61" t="n">
        <f aca="false">AD14+AD23</f>
        <v>228513.739922166</v>
      </c>
      <c r="AE25" s="61" t="n">
        <f aca="false">AE14+AE23</f>
        <v>242163.133784534</v>
      </c>
      <c r="AF25" s="61" t="n">
        <f aca="false">AF14+AF23</f>
        <v>256649.509610435</v>
      </c>
      <c r="AG25" s="61" t="n">
        <f aca="false">AG14+AG23</f>
        <v>272025.410511321</v>
      </c>
      <c r="AH25" s="61" t="n">
        <f aca="false">AH14+AH23</f>
        <v>288346.746177965</v>
      </c>
      <c r="AI25" s="61" t="n">
        <f aca="false">AI14+AI23</f>
        <v>305673.012392882</v>
      </c>
      <c r="AJ25" s="61" t="n">
        <f aca="false">AJ14+AJ23</f>
        <v>324067.525070651</v>
      </c>
      <c r="AK25" s="61" t="n">
        <f aca="false">AK14+AK23</f>
        <v>343597.6698</v>
      </c>
      <c r="AL25" s="62" t="n">
        <f aca="false">SUM(B25:M25)</f>
        <v>72184.4906559936</v>
      </c>
      <c r="AM25" s="61" t="n">
        <f aca="false">SUM(N25:Y25)</f>
        <v>710652.086544031</v>
      </c>
      <c r="AN25" s="61" t="n">
        <f aca="false">SUM(Z25:AK25)</f>
        <v>3053670.0840994</v>
      </c>
    </row>
    <row r="26" customFormat="false" ht="14.25" hidden="false" customHeight="false" outlineLevel="0" collapsed="false">
      <c r="A26" s="45" t="s">
        <v>221</v>
      </c>
      <c r="B26" s="47" t="n">
        <f aca="false">IF(B14=0,0,B25/B14)</f>
        <v>0.627636505004792</v>
      </c>
      <c r="C26" s="47" t="n">
        <f aca="false">IF(C14=0,0,C25/C14)</f>
        <v>0.626954270502014</v>
      </c>
      <c r="D26" s="47" t="n">
        <f aca="false">IF(D14=0,0,D25/D14)</f>
        <v>0.626265152085967</v>
      </c>
      <c r="E26" s="47" t="n">
        <f aca="false">IF(E14=0,0,E25/E14)</f>
        <v>0.625569652864971</v>
      </c>
      <c r="F26" s="47" t="n">
        <f aca="false">IF(F14=0,0,F25/F14)</f>
        <v>0.624868290388927</v>
      </c>
      <c r="G26" s="47" t="n">
        <f aca="false">IF(G14=0,0,G25/G14)</f>
        <v>0.624161595302758</v>
      </c>
      <c r="H26" s="47" t="n">
        <f aca="false">IF(H14=0,0,H25/H14)</f>
        <v>0.623450109926715</v>
      </c>
      <c r="I26" s="47" t="n">
        <f aca="false">IF(I14=0,0,I25/I14)</f>
        <v>0.622734386771445</v>
      </c>
      <c r="J26" s="47" t="n">
        <f aca="false">IF(J14=0,0,J25/J14)</f>
        <v>0.622014986996342</v>
      </c>
      <c r="K26" s="47" t="n">
        <f aca="false">IF(K14=0,0,K25/K14)</f>
        <v>0.621292478820245</v>
      </c>
      <c r="L26" s="47" t="n">
        <f aca="false">IF(L14=0,0,L25/L14)</f>
        <v>0.620567435894049</v>
      </c>
      <c r="M26" s="47" t="n">
        <f aca="false">IF(M14=0,0,M25/M14)</f>
        <v>0.619840435645127</v>
      </c>
      <c r="N26" s="48" t="n">
        <f aca="false">IF(N14=0,0,N25/N14)</f>
        <v>0.628141357071655</v>
      </c>
      <c r="O26" s="47" t="n">
        <f aca="false">IF(O14=0,0,O25/O14)</f>
        <v>0.627283967415014</v>
      </c>
      <c r="P26" s="47" t="n">
        <f aca="false">IF(P14=0,0,P25/P14)</f>
        <v>0.626430919601535</v>
      </c>
      <c r="Q26" s="47" t="n">
        <f aca="false">IF(Q14=0,0,Q25/Q14)</f>
        <v>0.625582634569055</v>
      </c>
      <c r="R26" s="47" t="n">
        <f aca="false">IF(R14=0,0,R25/R14)</f>
        <v>0.624739523393748</v>
      </c>
      <c r="S26" s="47" t="n">
        <f aca="false">IF(S14=0,0,S25/S14)</f>
        <v>0.623901986541167</v>
      </c>
      <c r="T26" s="47" t="n">
        <f aca="false">IF(T14=0,0,T25/T14)</f>
        <v>0.623070413162365</v>
      </c>
      <c r="U26" s="47" t="n">
        <f aca="false">IF(U14=0,0,U25/U14)</f>
        <v>0.62224518043741</v>
      </c>
      <c r="V26" s="47" t="n">
        <f aca="false">IF(V14=0,0,V25/V14)</f>
        <v>0.621426652968284</v>
      </c>
      <c r="W26" s="47" t="n">
        <f aca="false">IF(W14=0,0,W25/W14)</f>
        <v>0.62061518222282</v>
      </c>
      <c r="X26" s="47" t="n">
        <f aca="false">IF(X14=0,0,X25/X14)</f>
        <v>0.619811106030987</v>
      </c>
      <c r="Y26" s="47" t="n">
        <f aca="false">IF(Y14=0,0,Y25/Y14)</f>
        <v>0.619014748134504</v>
      </c>
      <c r="Z26" s="48" t="n">
        <f aca="false">IF(Z14=0,0,Z25/Z14)</f>
        <v>0.624069749471985</v>
      </c>
      <c r="AA26" s="47" t="n">
        <f aca="false">IF(AA14=0,0,AA25/AA14)</f>
        <v>0.623587568531791</v>
      </c>
      <c r="AB26" s="47" t="n">
        <f aca="false">IF(AB14=0,0,AB25/AB14)</f>
        <v>0.623108326024611</v>
      </c>
      <c r="AC26" s="47" t="n">
        <f aca="false">IF(AC14=0,0,AC25/AC14)</f>
        <v>0.622632080644395</v>
      </c>
      <c r="AD26" s="47" t="n">
        <f aca="false">IF(AD14=0,0,AD25/AD14)</f>
        <v>0.622158889642652</v>
      </c>
      <c r="AE26" s="47" t="n">
        <f aca="false">IF(AE14=0,0,AE25/AE14)</f>
        <v>0.621688808809148</v>
      </c>
      <c r="AF26" s="47" t="n">
        <f aca="false">IF(AF14=0,0,AF25/AF14)</f>
        <v>0.621221892454101</v>
      </c>
      <c r="AG26" s="47" t="n">
        <f aca="false">IF(AG14=0,0,AG25/AG14)</f>
        <v>0.6207581933919</v>
      </c>
      <c r="AH26" s="47" t="n">
        <f aca="false">IF(AH14=0,0,AH25/AH14)</f>
        <v>0.62029776292632</v>
      </c>
      <c r="AI26" s="47" t="n">
        <f aca="false">IF(AI14=0,0,AI25/AI14)</f>
        <v>0.619840650837248</v>
      </c>
      <c r="AJ26" s="47" t="n">
        <f aca="false">IF(AJ14=0,0,AJ25/AJ14)</f>
        <v>0.619386905368895</v>
      </c>
      <c r="AK26" s="47" t="n">
        <f aca="false">IF(AK14=0,0,AK25/AK14)</f>
        <v>0.618936573219508</v>
      </c>
      <c r="AL26" s="48" t="n">
        <f aca="false">IF(AL14=0,0,AL25/AL14)</f>
        <v>0.623315604549324</v>
      </c>
      <c r="AM26" s="47" t="n">
        <f aca="false">IF(AM14=0,0,AM25/AM14)</f>
        <v>0.621157542397568</v>
      </c>
      <c r="AN26" s="47" t="n">
        <f aca="false">IF(AN14=0,0,AN25/AN14)</f>
        <v>0.621149531494388</v>
      </c>
    </row>
    <row r="27" customFormat="false" ht="14.25" hidden="false" customHeight="false" outlineLevel="0" collapsed="false">
      <c r="N27" s="41"/>
      <c r="Z27" s="41"/>
      <c r="AL27" s="41"/>
    </row>
    <row r="28" customFormat="false" ht="18" hidden="false" customHeight="true" outlineLevel="0" collapsed="false">
      <c r="A28" s="57" t="s">
        <v>222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9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9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9"/>
      <c r="AM28" s="58"/>
      <c r="AN28" s="58"/>
    </row>
    <row r="29" customFormat="false" ht="14.25" hidden="false" customHeight="false" outlineLevel="0" collapsed="false">
      <c r="A29" s="45" t="s">
        <v>223</v>
      </c>
      <c r="B29" s="43" t="n">
        <f aca="false">-Assumptions!B67/12</f>
        <v>-0</v>
      </c>
      <c r="C29" s="43" t="n">
        <f aca="false">-Assumptions!B67/12</f>
        <v>-0</v>
      </c>
      <c r="D29" s="43" t="n">
        <f aca="false">-Assumptions!B67/12</f>
        <v>-0</v>
      </c>
      <c r="E29" s="43" t="n">
        <f aca="false">-Assumptions!B67/12</f>
        <v>-0</v>
      </c>
      <c r="F29" s="43" t="n">
        <f aca="false">-Assumptions!B67/12</f>
        <v>-0</v>
      </c>
      <c r="G29" s="43" t="n">
        <f aca="false">-Assumptions!B67/12</f>
        <v>-0</v>
      </c>
      <c r="H29" s="43" t="n">
        <f aca="false">-Assumptions!B67/12</f>
        <v>-0</v>
      </c>
      <c r="I29" s="43" t="n">
        <f aca="false">-Assumptions!B67/12</f>
        <v>-0</v>
      </c>
      <c r="J29" s="43" t="n">
        <f aca="false">-Assumptions!B67/12</f>
        <v>-0</v>
      </c>
      <c r="K29" s="43" t="n">
        <f aca="false">-Assumptions!B67/12</f>
        <v>-0</v>
      </c>
      <c r="L29" s="43" t="n">
        <f aca="false">-Assumptions!B67/12</f>
        <v>-0</v>
      </c>
      <c r="M29" s="43" t="n">
        <f aca="false">-Assumptions!B67/12</f>
        <v>-0</v>
      </c>
      <c r="N29" s="44" t="n">
        <f aca="false">-Assumptions!C67/12</f>
        <v>-0</v>
      </c>
      <c r="O29" s="43" t="n">
        <f aca="false">-Assumptions!C67/12</f>
        <v>-0</v>
      </c>
      <c r="P29" s="43" t="n">
        <f aca="false">-Assumptions!C67/12</f>
        <v>-0</v>
      </c>
      <c r="Q29" s="43" t="n">
        <f aca="false">-Assumptions!C67/12</f>
        <v>-0</v>
      </c>
      <c r="R29" s="43" t="n">
        <f aca="false">-Assumptions!C67/12</f>
        <v>-0</v>
      </c>
      <c r="S29" s="43" t="n">
        <f aca="false">-Assumptions!C67/12</f>
        <v>-0</v>
      </c>
      <c r="T29" s="43" t="n">
        <f aca="false">-Assumptions!C67/12</f>
        <v>-0</v>
      </c>
      <c r="U29" s="43" t="n">
        <f aca="false">-Assumptions!C67/12</f>
        <v>-0</v>
      </c>
      <c r="V29" s="43" t="n">
        <f aca="false">-Assumptions!C67/12</f>
        <v>-0</v>
      </c>
      <c r="W29" s="43" t="n">
        <f aca="false">-Assumptions!C67/12</f>
        <v>-0</v>
      </c>
      <c r="X29" s="43" t="n">
        <f aca="false">-Assumptions!C67/12</f>
        <v>-0</v>
      </c>
      <c r="Y29" s="43" t="n">
        <f aca="false">-Assumptions!C67/12</f>
        <v>-0</v>
      </c>
      <c r="Z29" s="44" t="n">
        <f aca="false">-Assumptions!D67/12</f>
        <v>-0</v>
      </c>
      <c r="AA29" s="43" t="n">
        <f aca="false">-Assumptions!D67/12</f>
        <v>-0</v>
      </c>
      <c r="AB29" s="43" t="n">
        <f aca="false">-Assumptions!D67/12</f>
        <v>-0</v>
      </c>
      <c r="AC29" s="43" t="n">
        <f aca="false">-Assumptions!D67/12</f>
        <v>-0</v>
      </c>
      <c r="AD29" s="43" t="n">
        <f aca="false">-Assumptions!D67/12</f>
        <v>-0</v>
      </c>
      <c r="AE29" s="43" t="n">
        <f aca="false">-Assumptions!D67/12</f>
        <v>-0</v>
      </c>
      <c r="AF29" s="43" t="n">
        <f aca="false">-Assumptions!D67/12</f>
        <v>-0</v>
      </c>
      <c r="AG29" s="43" t="n">
        <f aca="false">-Assumptions!D67/12</f>
        <v>-0</v>
      </c>
      <c r="AH29" s="43" t="n">
        <f aca="false">-Assumptions!D67/12</f>
        <v>-0</v>
      </c>
      <c r="AI29" s="43" t="n">
        <f aca="false">-Assumptions!D67/12</f>
        <v>-0</v>
      </c>
      <c r="AJ29" s="43" t="n">
        <f aca="false">-Assumptions!D67/12</f>
        <v>-0</v>
      </c>
      <c r="AK29" s="43" t="n">
        <f aca="false">-Assumptions!D67/12</f>
        <v>-0</v>
      </c>
      <c r="AL29" s="44" t="n">
        <f aca="false">SUM(B29:M29)</f>
        <v>0</v>
      </c>
      <c r="AM29" s="43" t="n">
        <f aca="false">SUM(N29:Y29)</f>
        <v>0</v>
      </c>
      <c r="AN29" s="43" t="n">
        <f aca="false">SUM(Z29:AK29)</f>
        <v>0</v>
      </c>
    </row>
    <row r="30" customFormat="false" ht="14.25" hidden="false" customHeight="false" outlineLevel="0" collapsed="false">
      <c r="A30" s="45" t="s">
        <v>224</v>
      </c>
      <c r="B30" s="43" t="n">
        <f aca="false">-'Volume &amp; Funnel Build'!B8*Assumptions!B66</f>
        <v>-4000</v>
      </c>
      <c r="C30" s="43" t="n">
        <f aca="false">-'Volume &amp; Funnel Build'!C8*Assumptions!B66</f>
        <v>-160.134094746279</v>
      </c>
      <c r="D30" s="43" t="n">
        <f aca="false">-'Volume &amp; Funnel Build'!D8*Assumptions!B66</f>
        <v>-166.544826821331</v>
      </c>
      <c r="E30" s="43" t="n">
        <f aca="false">-'Volume &amp; Funnel Build'!E8*Assumptions!B66</f>
        <v>-173.212203090759</v>
      </c>
      <c r="F30" s="43" t="n">
        <f aca="false">-'Volume &amp; Funnel Build'!F8*Assumptions!B66</f>
        <v>-180.146497925995</v>
      </c>
      <c r="G30" s="43" t="n">
        <f aca="false">-'Volume &amp; Funnel Build'!G8*Assumptions!B66</f>
        <v>-187.358397017768</v>
      </c>
      <c r="H30" s="43" t="n">
        <f aca="false">-'Volume &amp; Funnel Build'!H8*Assumptions!B66</f>
        <v>-194.859013842657</v>
      </c>
      <c r="I30" s="43" t="n">
        <f aca="false">-'Volume &amp; Funnel Build'!I8*Assumptions!B66</f>
        <v>-202.659906788868</v>
      </c>
      <c r="J30" s="43" t="n">
        <f aca="false">-'Volume &amp; Funnel Build'!J8*Assumptions!B66</f>
        <v>-210.773096967619</v>
      </c>
      <c r="K30" s="43" t="n">
        <f aca="false">-'Volume &amp; Funnel Build'!K8*Assumptions!B66</f>
        <v>-219.211086737563</v>
      </c>
      <c r="L30" s="43" t="n">
        <f aca="false">-'Volume &amp; Funnel Build'!L8*Assumptions!B66</f>
        <v>-227.98687897083</v>
      </c>
      <c r="M30" s="43" t="n">
        <f aca="false">-'Volume &amp; Funnel Build'!M8*Assumptions!B66</f>
        <v>-237.113997090336</v>
      </c>
      <c r="N30" s="44" t="n">
        <f aca="false">-'Volume &amp; Funnel Build'!N8*Assumptions!B66</f>
        <v>-0</v>
      </c>
      <c r="O30" s="43" t="n">
        <f aca="false">-'Volume &amp; Funnel Build'!O8*Assumptions!B66</f>
        <v>-1851.17824042098</v>
      </c>
      <c r="P30" s="43" t="n">
        <f aca="false">-'Volume &amp; Funnel Build'!P8*Assumptions!B66</f>
        <v>-2407.48682448074</v>
      </c>
      <c r="Q30" s="43" t="n">
        <f aca="false">-'Volume &amp; Funnel Build'!Q8*Assumptions!B66</f>
        <v>-3130.97501012668</v>
      </c>
      <c r="R30" s="43" t="n">
        <f aca="false">-'Volume &amp; Funnel Build'!R8*Assumptions!B66</f>
        <v>-4071.88293383583</v>
      </c>
      <c r="S30" s="43" t="n">
        <f aca="false">-'Volume &amp; Funnel Build'!S8*Assumptions!B66</f>
        <v>-5295.54869433232</v>
      </c>
      <c r="T30" s="43" t="n">
        <f aca="false">-'Volume &amp; Funnel Build'!T8*Assumptions!B66</f>
        <v>-6886.94553102676</v>
      </c>
      <c r="U30" s="43" t="n">
        <f aca="false">-'Volume &amp; Funnel Build'!U8*Assumptions!B66</f>
        <v>-8956.58249693606</v>
      </c>
      <c r="V30" s="43" t="n">
        <f aca="false">-'Volume &amp; Funnel Build'!V8*Assumptions!B66</f>
        <v>-11648.1783779204</v>
      </c>
      <c r="W30" s="43" t="n">
        <f aca="false">-'Volume &amp; Funnel Build'!W8*Assumptions!B66</f>
        <v>-15148.6417470354</v>
      </c>
      <c r="X30" s="43" t="n">
        <f aca="false">-'Volume &amp; Funnel Build'!X8*Assumptions!B66</f>
        <v>-19701.0501843803</v>
      </c>
      <c r="Y30" s="43" t="n">
        <f aca="false">-'Volume &amp; Funnel Build'!Y8*Assumptions!B66</f>
        <v>-25621.5299595047</v>
      </c>
      <c r="Z30" s="44" t="n">
        <f aca="false">-'Volume &amp; Funnel Build'!Z8*Assumptions!B66</f>
        <v>-0</v>
      </c>
      <c r="AA30" s="43" t="n">
        <f aca="false">-'Volume &amp; Funnel Build'!AA8*Assumptions!B66</f>
        <v>-5270.55395491322</v>
      </c>
      <c r="AB30" s="43" t="n">
        <f aca="false">-'Volume &amp; Funnel Build'!AB8*Assumptions!B66</f>
        <v>-5521.08370772393</v>
      </c>
      <c r="AC30" s="43" t="n">
        <f aca="false">-'Volume &amp; Funnel Build'!AC8*Assumptions!B66</f>
        <v>-5783.52210573215</v>
      </c>
      <c r="AD30" s="43" t="n">
        <f aca="false">-'Volume &amp; Funnel Build'!AD8*Assumptions!B66</f>
        <v>-6058.43521276403</v>
      </c>
      <c r="AE30" s="43" t="n">
        <f aca="false">-'Volume &amp; Funnel Build'!AE8*Assumptions!B66</f>
        <v>-6346.41599984211</v>
      </c>
      <c r="AF30" s="43" t="n">
        <f aca="false">-'Volume &amp; Funnel Build'!AF8*Assumptions!B66</f>
        <v>-6648.08562418819</v>
      </c>
      <c r="AG30" s="43" t="n">
        <f aca="false">-'Volume &amp; Funnel Build'!AG8*Assumptions!B66</f>
        <v>-6964.09476902196</v>
      </c>
      <c r="AH30" s="43" t="n">
        <f aca="false">-'Volume &amp; Funnel Build'!AH8*Assumptions!B66</f>
        <v>-7295.12504704556</v>
      </c>
      <c r="AI30" s="43" t="n">
        <f aca="false">-'Volume &amp; Funnel Build'!AI8*Assumptions!B66</f>
        <v>-7641.89047064129</v>
      </c>
      <c r="AJ30" s="43" t="n">
        <f aca="false">-'Volume &amp; Funnel Build'!AJ8*Assumptions!B66</f>
        <v>-8005.13899195308</v>
      </c>
      <c r="AK30" s="43" t="n">
        <f aca="false">-'Volume &amp; Funnel Build'!AK8*Assumptions!B66</f>
        <v>-8385.65411617447</v>
      </c>
      <c r="AL30" s="44" t="n">
        <f aca="false">SUM(B30:M30)</f>
        <v>-6160.00000000001</v>
      </c>
      <c r="AM30" s="43" t="n">
        <f aca="false">SUM(N30:Y30)</f>
        <v>-104720</v>
      </c>
      <c r="AN30" s="43" t="n">
        <f aca="false">SUM(Z30:AK30)</f>
        <v>-73920</v>
      </c>
    </row>
    <row r="31" customFormat="false" ht="14.25" hidden="false" customHeight="false" outlineLevel="0" collapsed="false">
      <c r="A31" s="45" t="s">
        <v>225</v>
      </c>
      <c r="B31" s="43" t="n">
        <f aca="false">-Assumptions!B68/12</f>
        <v>-833.333333333333</v>
      </c>
      <c r="C31" s="43" t="n">
        <f aca="false">-Assumptions!B68/12</f>
        <v>-833.333333333333</v>
      </c>
      <c r="D31" s="43" t="n">
        <f aca="false">-Assumptions!B68/12</f>
        <v>-833.333333333333</v>
      </c>
      <c r="E31" s="43" t="n">
        <f aca="false">-Assumptions!B68/12</f>
        <v>-833.333333333333</v>
      </c>
      <c r="F31" s="43" t="n">
        <f aca="false">-Assumptions!B68/12</f>
        <v>-833.333333333333</v>
      </c>
      <c r="G31" s="43" t="n">
        <f aca="false">-Assumptions!B68/12</f>
        <v>-833.333333333333</v>
      </c>
      <c r="H31" s="43" t="n">
        <f aca="false">-Assumptions!B68/12</f>
        <v>-833.333333333333</v>
      </c>
      <c r="I31" s="43" t="n">
        <f aca="false">-Assumptions!B68/12</f>
        <v>-833.333333333333</v>
      </c>
      <c r="J31" s="43" t="n">
        <f aca="false">-Assumptions!B68/12</f>
        <v>-833.333333333333</v>
      </c>
      <c r="K31" s="43" t="n">
        <f aca="false">-Assumptions!B68/12</f>
        <v>-833.333333333333</v>
      </c>
      <c r="L31" s="43" t="n">
        <f aca="false">-Assumptions!B68/12</f>
        <v>-833.333333333333</v>
      </c>
      <c r="M31" s="43" t="n">
        <f aca="false">-Assumptions!B68/12</f>
        <v>-833.333333333333</v>
      </c>
      <c r="N31" s="44" t="n">
        <f aca="false">-Assumptions!C68/12</f>
        <v>-833.333333333333</v>
      </c>
      <c r="O31" s="43" t="n">
        <f aca="false">-Assumptions!C68/12</f>
        <v>-833.333333333333</v>
      </c>
      <c r="P31" s="43" t="n">
        <f aca="false">-Assumptions!C68/12</f>
        <v>-833.333333333333</v>
      </c>
      <c r="Q31" s="43" t="n">
        <f aca="false">-Assumptions!C68/12</f>
        <v>-833.333333333333</v>
      </c>
      <c r="R31" s="43" t="n">
        <f aca="false">-Assumptions!C68/12</f>
        <v>-833.333333333333</v>
      </c>
      <c r="S31" s="43" t="n">
        <f aca="false">-Assumptions!C68/12</f>
        <v>-833.333333333333</v>
      </c>
      <c r="T31" s="43" t="n">
        <f aca="false">-Assumptions!C68/12</f>
        <v>-833.333333333333</v>
      </c>
      <c r="U31" s="43" t="n">
        <f aca="false">-Assumptions!C68/12</f>
        <v>-833.333333333333</v>
      </c>
      <c r="V31" s="43" t="n">
        <f aca="false">-Assumptions!C68/12</f>
        <v>-833.333333333333</v>
      </c>
      <c r="W31" s="43" t="n">
        <f aca="false">-Assumptions!C68/12</f>
        <v>-833.333333333333</v>
      </c>
      <c r="X31" s="43" t="n">
        <f aca="false">-Assumptions!C68/12</f>
        <v>-833.333333333333</v>
      </c>
      <c r="Y31" s="43" t="n">
        <f aca="false">-Assumptions!C68/12</f>
        <v>-833.333333333333</v>
      </c>
      <c r="Z31" s="44" t="n">
        <f aca="false">-Assumptions!D68/12</f>
        <v>-833.333333333333</v>
      </c>
      <c r="AA31" s="43" t="n">
        <f aca="false">-Assumptions!D68/12</f>
        <v>-833.333333333333</v>
      </c>
      <c r="AB31" s="43" t="n">
        <f aca="false">-Assumptions!D68/12</f>
        <v>-833.333333333333</v>
      </c>
      <c r="AC31" s="43" t="n">
        <f aca="false">-Assumptions!D68/12</f>
        <v>-833.333333333333</v>
      </c>
      <c r="AD31" s="43" t="n">
        <f aca="false">-Assumptions!D68/12</f>
        <v>-833.333333333333</v>
      </c>
      <c r="AE31" s="43" t="n">
        <f aca="false">-Assumptions!D68/12</f>
        <v>-833.333333333333</v>
      </c>
      <c r="AF31" s="43" t="n">
        <f aca="false">-Assumptions!D68/12</f>
        <v>-833.333333333333</v>
      </c>
      <c r="AG31" s="43" t="n">
        <f aca="false">-Assumptions!D68/12</f>
        <v>-833.333333333333</v>
      </c>
      <c r="AH31" s="43" t="n">
        <f aca="false">-Assumptions!D68/12</f>
        <v>-833.333333333333</v>
      </c>
      <c r="AI31" s="43" t="n">
        <f aca="false">-Assumptions!D68/12</f>
        <v>-833.333333333333</v>
      </c>
      <c r="AJ31" s="43" t="n">
        <f aca="false">-Assumptions!D68/12</f>
        <v>-833.333333333333</v>
      </c>
      <c r="AK31" s="43" t="n">
        <f aca="false">-Assumptions!D68/12</f>
        <v>-833.333333333333</v>
      </c>
      <c r="AL31" s="44" t="n">
        <f aca="false">SUM(B31:M31)</f>
        <v>-10000</v>
      </c>
      <c r="AM31" s="43" t="n">
        <f aca="false">SUM(N31:Y31)</f>
        <v>-10000</v>
      </c>
      <c r="AN31" s="43" t="n">
        <f aca="false">SUM(Z31:AK31)</f>
        <v>-10000</v>
      </c>
    </row>
    <row r="32" customFormat="false" ht="14.25" hidden="false" customHeight="false" outlineLevel="0" collapsed="false">
      <c r="A32" s="45" t="s">
        <v>226</v>
      </c>
      <c r="B32" s="43" t="n">
        <f aca="false">-Assumptions!B69/12</f>
        <v>-5000</v>
      </c>
      <c r="C32" s="43" t="n">
        <f aca="false">-Assumptions!B69/12</f>
        <v>-5000</v>
      </c>
      <c r="D32" s="43" t="n">
        <f aca="false">-Assumptions!B69/12</f>
        <v>-5000</v>
      </c>
      <c r="E32" s="43" t="n">
        <f aca="false">-Assumptions!B69/12</f>
        <v>-5000</v>
      </c>
      <c r="F32" s="43" t="n">
        <f aca="false">-Assumptions!B69/12</f>
        <v>-5000</v>
      </c>
      <c r="G32" s="43" t="n">
        <f aca="false">-Assumptions!B69/12</f>
        <v>-5000</v>
      </c>
      <c r="H32" s="43" t="n">
        <f aca="false">-Assumptions!B69/12</f>
        <v>-5000</v>
      </c>
      <c r="I32" s="43" t="n">
        <f aca="false">-Assumptions!B69/12</f>
        <v>-5000</v>
      </c>
      <c r="J32" s="43" t="n">
        <f aca="false">-Assumptions!B69/12</f>
        <v>-5000</v>
      </c>
      <c r="K32" s="43" t="n">
        <f aca="false">-Assumptions!B69/12</f>
        <v>-5000</v>
      </c>
      <c r="L32" s="43" t="n">
        <f aca="false">-Assumptions!B69/12</f>
        <v>-5000</v>
      </c>
      <c r="M32" s="43" t="n">
        <f aca="false">-Assumptions!B69/12</f>
        <v>-5000</v>
      </c>
      <c r="N32" s="44" t="n">
        <f aca="false">-Assumptions!C69/12</f>
        <v>-5000</v>
      </c>
      <c r="O32" s="43" t="n">
        <f aca="false">-Assumptions!C69/12</f>
        <v>-5000</v>
      </c>
      <c r="P32" s="43" t="n">
        <f aca="false">-Assumptions!C69/12</f>
        <v>-5000</v>
      </c>
      <c r="Q32" s="43" t="n">
        <f aca="false">-Assumptions!C69/12</f>
        <v>-5000</v>
      </c>
      <c r="R32" s="43" t="n">
        <f aca="false">-Assumptions!C69/12</f>
        <v>-5000</v>
      </c>
      <c r="S32" s="43" t="n">
        <f aca="false">-Assumptions!C69/12</f>
        <v>-5000</v>
      </c>
      <c r="T32" s="43" t="n">
        <f aca="false">-Assumptions!C69/12</f>
        <v>-5000</v>
      </c>
      <c r="U32" s="43" t="n">
        <f aca="false">-Assumptions!C69/12</f>
        <v>-5000</v>
      </c>
      <c r="V32" s="43" t="n">
        <f aca="false">-Assumptions!C69/12</f>
        <v>-5000</v>
      </c>
      <c r="W32" s="43" t="n">
        <f aca="false">-Assumptions!C69/12</f>
        <v>-5000</v>
      </c>
      <c r="X32" s="43" t="n">
        <f aca="false">-Assumptions!C69/12</f>
        <v>-5000</v>
      </c>
      <c r="Y32" s="43" t="n">
        <f aca="false">-Assumptions!C69/12</f>
        <v>-5000</v>
      </c>
      <c r="Z32" s="44" t="n">
        <f aca="false">-Assumptions!D69/12</f>
        <v>-5000</v>
      </c>
      <c r="AA32" s="43" t="n">
        <f aca="false">-Assumptions!D69/12</f>
        <v>-5000</v>
      </c>
      <c r="AB32" s="43" t="n">
        <f aca="false">-Assumptions!D69/12</f>
        <v>-5000</v>
      </c>
      <c r="AC32" s="43" t="n">
        <f aca="false">-Assumptions!D69/12</f>
        <v>-5000</v>
      </c>
      <c r="AD32" s="43" t="n">
        <f aca="false">-Assumptions!D69/12</f>
        <v>-5000</v>
      </c>
      <c r="AE32" s="43" t="n">
        <f aca="false">-Assumptions!D69/12</f>
        <v>-5000</v>
      </c>
      <c r="AF32" s="43" t="n">
        <f aca="false">-Assumptions!D69/12</f>
        <v>-5000</v>
      </c>
      <c r="AG32" s="43" t="n">
        <f aca="false">-Assumptions!D69/12</f>
        <v>-5000</v>
      </c>
      <c r="AH32" s="43" t="n">
        <f aca="false">-Assumptions!D69/12</f>
        <v>-5000</v>
      </c>
      <c r="AI32" s="43" t="n">
        <f aca="false">-Assumptions!D69/12</f>
        <v>-5000</v>
      </c>
      <c r="AJ32" s="43" t="n">
        <f aca="false">-Assumptions!D69/12</f>
        <v>-5000</v>
      </c>
      <c r="AK32" s="43" t="n">
        <f aca="false">-Assumptions!D69/12</f>
        <v>-5000</v>
      </c>
      <c r="AL32" s="44" t="n">
        <f aca="false">SUM(B32:M32)</f>
        <v>-60000</v>
      </c>
      <c r="AM32" s="43" t="n">
        <f aca="false">SUM(N32:Y32)</f>
        <v>-60000</v>
      </c>
      <c r="AN32" s="43" t="n">
        <f aca="false">SUM(Z32:AK32)</f>
        <v>-60000</v>
      </c>
    </row>
    <row r="33" customFormat="false" ht="14.25" hidden="false" customHeight="false" outlineLevel="0" collapsed="false">
      <c r="A33" s="60" t="s">
        <v>227</v>
      </c>
      <c r="B33" s="61" t="n">
        <f aca="false">SUM(B29:B32)</f>
        <v>-9833.33333333333</v>
      </c>
      <c r="C33" s="61" t="n">
        <f aca="false">SUM(C29:C32)</f>
        <v>-5993.46742807961</v>
      </c>
      <c r="D33" s="61" t="n">
        <f aca="false">SUM(D29:D32)</f>
        <v>-5999.87816015466</v>
      </c>
      <c r="E33" s="61" t="n">
        <f aca="false">SUM(E29:E32)</f>
        <v>-6006.54553642409</v>
      </c>
      <c r="F33" s="61" t="n">
        <f aca="false">SUM(F29:F32)</f>
        <v>-6013.47983125933</v>
      </c>
      <c r="G33" s="61" t="n">
        <f aca="false">SUM(G29:G32)</f>
        <v>-6020.6917303511</v>
      </c>
      <c r="H33" s="61" t="n">
        <f aca="false">SUM(H29:H32)</f>
        <v>-6028.19234717599</v>
      </c>
      <c r="I33" s="61" t="n">
        <f aca="false">SUM(I29:I32)</f>
        <v>-6035.9932401222</v>
      </c>
      <c r="J33" s="61" t="n">
        <f aca="false">SUM(J29:J32)</f>
        <v>-6044.10643030095</v>
      </c>
      <c r="K33" s="61" t="n">
        <f aca="false">SUM(K29:K32)</f>
        <v>-6052.5444200709</v>
      </c>
      <c r="L33" s="61" t="n">
        <f aca="false">SUM(L29:L32)</f>
        <v>-6061.32021230416</v>
      </c>
      <c r="M33" s="61" t="n">
        <f aca="false">SUM(M29:M32)</f>
        <v>-6070.44733042367</v>
      </c>
      <c r="N33" s="62" t="n">
        <f aca="false">SUM(N29:N32)</f>
        <v>-5833.33333333333</v>
      </c>
      <c r="O33" s="61" t="n">
        <f aca="false">SUM(O29:O32)</f>
        <v>-7684.51157375432</v>
      </c>
      <c r="P33" s="61" t="n">
        <f aca="false">SUM(P29:P32)</f>
        <v>-8240.82015781408</v>
      </c>
      <c r="Q33" s="61" t="n">
        <f aca="false">SUM(Q29:Q32)</f>
        <v>-8964.30834346001</v>
      </c>
      <c r="R33" s="61" t="n">
        <f aca="false">SUM(R29:R32)</f>
        <v>-9905.21626716916</v>
      </c>
      <c r="S33" s="61" t="n">
        <f aca="false">SUM(S29:S32)</f>
        <v>-11128.8820276657</v>
      </c>
      <c r="T33" s="61" t="n">
        <f aca="false">SUM(T29:T32)</f>
        <v>-12720.2788643601</v>
      </c>
      <c r="U33" s="61" t="n">
        <f aca="false">SUM(U29:U32)</f>
        <v>-14789.9158302694</v>
      </c>
      <c r="V33" s="61" t="n">
        <f aca="false">SUM(V29:V32)</f>
        <v>-17481.5117112537</v>
      </c>
      <c r="W33" s="61" t="n">
        <f aca="false">SUM(W29:W32)</f>
        <v>-20981.9750803687</v>
      </c>
      <c r="X33" s="61" t="n">
        <f aca="false">SUM(X29:X32)</f>
        <v>-25534.3835177136</v>
      </c>
      <c r="Y33" s="61" t="n">
        <f aca="false">SUM(Y29:Y32)</f>
        <v>-31454.8632928381</v>
      </c>
      <c r="Z33" s="62" t="n">
        <f aca="false">SUM(Z29:Z32)</f>
        <v>-5833.33333333333</v>
      </c>
      <c r="AA33" s="61" t="n">
        <f aca="false">SUM(AA29:AA32)</f>
        <v>-11103.8872882466</v>
      </c>
      <c r="AB33" s="61" t="n">
        <f aca="false">SUM(AB29:AB32)</f>
        <v>-11354.4170410573</v>
      </c>
      <c r="AC33" s="61" t="n">
        <f aca="false">SUM(AC29:AC32)</f>
        <v>-11616.8554390655</v>
      </c>
      <c r="AD33" s="61" t="n">
        <f aca="false">SUM(AD29:AD32)</f>
        <v>-11891.7685460974</v>
      </c>
      <c r="AE33" s="61" t="n">
        <f aca="false">SUM(AE29:AE32)</f>
        <v>-12179.7493331754</v>
      </c>
      <c r="AF33" s="61" t="n">
        <f aca="false">SUM(AF29:AF32)</f>
        <v>-12481.4189575215</v>
      </c>
      <c r="AG33" s="61" t="n">
        <f aca="false">SUM(AG29:AG32)</f>
        <v>-12797.4281023553</v>
      </c>
      <c r="AH33" s="61" t="n">
        <f aca="false">SUM(AH29:AH32)</f>
        <v>-13128.4583803789</v>
      </c>
      <c r="AI33" s="61" t="n">
        <f aca="false">SUM(AI29:AI32)</f>
        <v>-13475.2238039746</v>
      </c>
      <c r="AJ33" s="61" t="n">
        <f aca="false">SUM(AJ29:AJ32)</f>
        <v>-13838.4723252864</v>
      </c>
      <c r="AK33" s="61" t="n">
        <f aca="false">SUM(AK29:AK32)</f>
        <v>-14218.9874495078</v>
      </c>
      <c r="AL33" s="62" t="n">
        <f aca="false">SUM(B33:M33)</f>
        <v>-76160</v>
      </c>
      <c r="AM33" s="61" t="n">
        <f aca="false">SUM(N33:Y33)</f>
        <v>-174720</v>
      </c>
      <c r="AN33" s="61" t="n">
        <f aca="false">SUM(Z33:AK33)</f>
        <v>-143920</v>
      </c>
    </row>
    <row r="34" customFormat="false" ht="14.25" hidden="false" customHeight="false" outlineLevel="0" collapsed="false">
      <c r="N34" s="41"/>
      <c r="Z34" s="41"/>
      <c r="AL34" s="41"/>
    </row>
    <row r="35" customFormat="false" ht="14.25" hidden="false" customHeight="false" outlineLevel="0" collapsed="false">
      <c r="A35" s="60" t="s">
        <v>228</v>
      </c>
      <c r="B35" s="61" t="n">
        <f aca="false">B25+B33</f>
        <v>-5425.90033333333</v>
      </c>
      <c r="C35" s="61" t="n">
        <f aca="false">C25+C33</f>
        <v>-1349.81557230043</v>
      </c>
      <c r="D35" s="61" t="n">
        <f aca="false">D25+D33</f>
        <v>-1105.62841789743</v>
      </c>
      <c r="E35" s="61" t="n">
        <f aca="false">E25+E33</f>
        <v>-846.348071501547</v>
      </c>
      <c r="F35" s="61" t="n">
        <f aca="false">F25+F33</f>
        <v>-570.943708810794</v>
      </c>
      <c r="G35" s="61" t="n">
        <f aca="false">G25+G33</f>
        <v>-278.309318726345</v>
      </c>
      <c r="H35" s="61" t="n">
        <f aca="false">H25+H33</f>
        <v>32.7419946362525</v>
      </c>
      <c r="I35" s="61" t="n">
        <f aca="false">I25+I33</f>
        <v>363.484150791905</v>
      </c>
      <c r="J35" s="61" t="n">
        <f aca="false">J25+J33</f>
        <v>715.284707065834</v>
      </c>
      <c r="K35" s="61" t="n">
        <f aca="false">K25+K33</f>
        <v>1089.61198529892</v>
      </c>
      <c r="L35" s="61" t="n">
        <f aca="false">L25+L33</f>
        <v>1488.04275119422</v>
      </c>
      <c r="M35" s="61" t="n">
        <f aca="false">M25+M33</f>
        <v>1912.27048957634</v>
      </c>
      <c r="N35" s="62" t="n">
        <f aca="false">N25+N33</f>
        <v>2335.58388466667</v>
      </c>
      <c r="O35" s="61" t="n">
        <f aca="false">O25+O33</f>
        <v>3127.12352931016</v>
      </c>
      <c r="P35" s="61" t="n">
        <f aca="false">P25+P33</f>
        <v>6072.3128309121</v>
      </c>
      <c r="Q35" s="61" t="n">
        <f aca="false">Q25+Q33</f>
        <v>9989.39861774569</v>
      </c>
      <c r="R35" s="61" t="n">
        <f aca="false">R25+R33</f>
        <v>15200.3123966123</v>
      </c>
      <c r="S35" s="61" t="n">
        <f aca="false">S25+S33</f>
        <v>22134.0018327294</v>
      </c>
      <c r="T35" s="61" t="n">
        <f aca="false">T25+T33</f>
        <v>31362.1233812681</v>
      </c>
      <c r="U35" s="61" t="n">
        <f aca="false">U25+U33</f>
        <v>43646.676161563</v>
      </c>
      <c r="V35" s="61" t="n">
        <f aca="false">V25+V33</f>
        <v>60003.5835279302</v>
      </c>
      <c r="W35" s="61" t="n">
        <f aca="false">W25+W33</f>
        <v>81787.5765421021</v>
      </c>
      <c r="X35" s="61" t="n">
        <f aca="false">X25+X33</f>
        <v>110805.535768029</v>
      </c>
      <c r="Y35" s="61" t="n">
        <f aca="false">Y25+Y33</f>
        <v>149467.858071162</v>
      </c>
      <c r="Z35" s="62" t="n">
        <f aca="false">Z25+Z33</f>
        <v>175508.439586667</v>
      </c>
      <c r="AA35" s="61" t="n">
        <f aca="false">AA25+AA33</f>
        <v>181004.395105767</v>
      </c>
      <c r="AB35" s="61" t="n">
        <f aca="false">AB25+AB33</f>
        <v>192176.91887977</v>
      </c>
      <c r="AC35" s="61" t="n">
        <f aca="false">AC25+AC33</f>
        <v>204035.090155536</v>
      </c>
      <c r="AD35" s="61" t="n">
        <f aca="false">AD25+AD33</f>
        <v>216621.971376069</v>
      </c>
      <c r="AE35" s="61" t="n">
        <f aca="false">AE25+AE33</f>
        <v>229983.384451359</v>
      </c>
      <c r="AF35" s="61" t="n">
        <f aca="false">AF25+AF33</f>
        <v>244168.090652913</v>
      </c>
      <c r="AG35" s="61" t="n">
        <f aca="false">AG25+AG33</f>
        <v>259227.982408966</v>
      </c>
      <c r="AH35" s="61" t="n">
        <f aca="false">AH25+AH33</f>
        <v>275218.287797587</v>
      </c>
      <c r="AI35" s="61" t="n">
        <f aca="false">AI25+AI33</f>
        <v>292197.788588907</v>
      </c>
      <c r="AJ35" s="61" t="n">
        <f aca="false">AJ25+AJ33</f>
        <v>310229.052745364</v>
      </c>
      <c r="AK35" s="61" t="n">
        <f aca="false">AK25+AK33</f>
        <v>329378.682350492</v>
      </c>
      <c r="AL35" s="62" t="n">
        <f aca="false">SUM(B35:M35)</f>
        <v>-3975.50934400641</v>
      </c>
      <c r="AM35" s="61" t="n">
        <f aca="false">SUM(N35:Y35)</f>
        <v>535932.086544031</v>
      </c>
      <c r="AN35" s="61" t="n">
        <f aca="false">SUM(Z35:AK35)</f>
        <v>2909750.0840994</v>
      </c>
    </row>
    <row r="36" customFormat="false" ht="14.25" hidden="false" customHeight="false" outlineLevel="0" collapsed="false">
      <c r="A36" s="45" t="s">
        <v>229</v>
      </c>
      <c r="B36" s="47" t="n">
        <f aca="false">IF(B14=0,0,B35/B14)</f>
        <v>-0.772670423286677</v>
      </c>
      <c r="C36" s="47" t="n">
        <f aca="false">IF(C14=0,0,C35/C14)</f>
        <v>-0.182242912200805</v>
      </c>
      <c r="D36" s="47" t="n">
        <f aca="false">IF(D14=0,0,D35/D14)</f>
        <v>-0.141475524492904</v>
      </c>
      <c r="E36" s="47" t="n">
        <f aca="false">IF(E14=0,0,E35/E14)</f>
        <v>-0.102602598619762</v>
      </c>
      <c r="F36" s="47" t="n">
        <f aca="false">IF(F14=0,0,F35/F14)</f>
        <v>-0.065551171587339</v>
      </c>
      <c r="G36" s="47" t="n">
        <f aca="false">IF(G14=0,0,G35/G14)</f>
        <v>-0.0302505085715303</v>
      </c>
      <c r="H36" s="47" t="n">
        <f aca="false">IF(H14=0,0,H35/H14)</f>
        <v>0.00336796259520078</v>
      </c>
      <c r="I36" s="47" t="n">
        <f aca="false">IF(I14=0,0,I35/I14)</f>
        <v>0.0353707132501024</v>
      </c>
      <c r="J36" s="47" t="n">
        <f aca="false">IF(J14=0,0,J35/J14)</f>
        <v>0.0658221722522719</v>
      </c>
      <c r="K36" s="47" t="n">
        <f aca="false">IF(K14=0,0,K35/K14)</f>
        <v>0.0947847810767121</v>
      </c>
      <c r="L36" s="47" t="n">
        <f aca="false">IF(L14=0,0,L35/L14)</f>
        <v>0.122319045868395</v>
      </c>
      <c r="M36" s="47" t="n">
        <f aca="false">IF(M14=0,0,M35/M14)</f>
        <v>0.148483586675285</v>
      </c>
      <c r="N36" s="48" t="n">
        <f aca="false">IF(N14=0,0,N35/N14)</f>
        <v>0.179592569213034</v>
      </c>
      <c r="O36" s="47" t="n">
        <f aca="false">IF(O14=0,0,O35/O14)</f>
        <v>0.181433653222954</v>
      </c>
      <c r="P36" s="47" t="n">
        <f aca="false">IF(P14=0,0,P35/P14)</f>
        <v>0.265761836613453</v>
      </c>
      <c r="Q36" s="47" t="n">
        <f aca="false">IF(Q14=0,0,Q35/Q14)</f>
        <v>0.329708289668117</v>
      </c>
      <c r="R36" s="47" t="n">
        <f aca="false">IF(R14=0,0,R35/R14)</f>
        <v>0.37825277648088</v>
      </c>
      <c r="S36" s="47" t="n">
        <f aca="false">IF(S14=0,0,S35/S14)</f>
        <v>0.415160867335021</v>
      </c>
      <c r="T36" s="47" t="n">
        <f aca="false">IF(T14=0,0,T35/T14)</f>
        <v>0.443279181201013</v>
      </c>
      <c r="U36" s="47" t="n">
        <f aca="false">IF(U14=0,0,U35/U14)</f>
        <v>0.464759031249477</v>
      </c>
      <c r="V36" s="47" t="n">
        <f aca="false">IF(V14=0,0,V35/V14)</f>
        <v>0.481225788814779</v>
      </c>
      <c r="W36" s="47" t="n">
        <f aca="false">IF(W14=0,0,W35/W14)</f>
        <v>0.493907104953653</v>
      </c>
      <c r="X36" s="47" t="n">
        <f aca="false">IF(X14=0,0,X35/X14)</f>
        <v>0.503729956996681</v>
      </c>
      <c r="Y36" s="47" t="n">
        <f aca="false">IF(Y14=0,0,Y35/Y14)</f>
        <v>0.511394079309567</v>
      </c>
      <c r="Z36" s="48" t="n">
        <f aca="false">IF(Z14=0,0,Z35/Z14)</f>
        <v>0.603994910601154</v>
      </c>
      <c r="AA36" s="47" t="n">
        <f aca="false">IF(AA14=0,0,AA35/AA14)</f>
        <v>0.587544114345224</v>
      </c>
      <c r="AB36" s="47" t="n">
        <f aca="false">IF(AB14=0,0,AB35/AB14)</f>
        <v>0.588346937742903</v>
      </c>
      <c r="AC36" s="47" t="n">
        <f aca="false">IF(AC14=0,0,AC35/AC14)</f>
        <v>0.589091799555683</v>
      </c>
      <c r="AD36" s="47" t="n">
        <f aca="false">IF(AD14=0,0,AD35/AD14)</f>
        <v>0.589781976477399</v>
      </c>
      <c r="AE36" s="47" t="n">
        <f aca="false">IF(AE14=0,0,AE35/AE14)</f>
        <v>0.59042057348282</v>
      </c>
      <c r="AF36" s="47" t="n">
        <f aca="false">IF(AF14=0,0,AF35/AF14)</f>
        <v>0.591010532545121</v>
      </c>
      <c r="AG36" s="47" t="n">
        <f aca="false">IF(AG14=0,0,AG35/AG14)</f>
        <v>0.591554640922487</v>
      </c>
      <c r="AH36" s="47" t="n">
        <f aca="false">IF(AH14=0,0,AH35/AH14)</f>
        <v>0.592055539034554</v>
      </c>
      <c r="AI36" s="47" t="n">
        <f aca="false">IF(AI14=0,0,AI35/AI14)</f>
        <v>0.592515727948414</v>
      </c>
      <c r="AJ36" s="47" t="n">
        <f aca="false">IF(AJ14=0,0,AJ35/AJ14)</f>
        <v>0.592937576492996</v>
      </c>
      <c r="AK36" s="47" t="n">
        <f aca="false">IF(AK14=0,0,AK35/AK14)</f>
        <v>0.59332332801976</v>
      </c>
      <c r="AL36" s="48" t="n">
        <f aca="false">IF(AL14=0,0,AL35/AL14)</f>
        <v>-0.0343286623986879</v>
      </c>
      <c r="AM36" s="47" t="n">
        <f aca="false">IF(AM14=0,0,AM35/AM14)</f>
        <v>0.468440554911485</v>
      </c>
      <c r="AN36" s="47" t="n">
        <f aca="false">IF(AN14=0,0,AN35/AN14)</f>
        <v>0.591874646483672</v>
      </c>
    </row>
    <row r="37" customFormat="false" ht="14.25" hidden="false" customHeight="false" outlineLevel="0" collapsed="false">
      <c r="A37" s="45" t="s">
        <v>230</v>
      </c>
      <c r="B37" s="43" t="n">
        <f aca="false">B35</f>
        <v>-5425.90033333333</v>
      </c>
      <c r="C37" s="43" t="n">
        <f aca="false">B37+C35</f>
        <v>-6775.71590563376</v>
      </c>
      <c r="D37" s="43" t="n">
        <f aca="false">C37+D35</f>
        <v>-7881.34432353119</v>
      </c>
      <c r="E37" s="43" t="n">
        <f aca="false">D37+E35</f>
        <v>-8727.69239503274</v>
      </c>
      <c r="F37" s="43" t="n">
        <f aca="false">E37+F35</f>
        <v>-9298.63610384353</v>
      </c>
      <c r="G37" s="43" t="n">
        <f aca="false">F37+G35</f>
        <v>-9576.94542256988</v>
      </c>
      <c r="H37" s="43" t="n">
        <f aca="false">G37+H35</f>
        <v>-9544.20342793362</v>
      </c>
      <c r="I37" s="43" t="n">
        <f aca="false">H37+I35</f>
        <v>-9180.71927714172</v>
      </c>
      <c r="J37" s="43" t="n">
        <f aca="false">I37+J35</f>
        <v>-8465.43457007588</v>
      </c>
      <c r="K37" s="43" t="n">
        <f aca="false">J37+K35</f>
        <v>-7375.82258477696</v>
      </c>
      <c r="L37" s="43" t="n">
        <f aca="false">K37+L35</f>
        <v>-5887.77983358275</v>
      </c>
      <c r="M37" s="43" t="n">
        <f aca="false">L37+M35</f>
        <v>-3975.50934400641</v>
      </c>
      <c r="N37" s="44" t="n">
        <f aca="false">M37+N35</f>
        <v>-1639.92545933974</v>
      </c>
      <c r="O37" s="43" t="n">
        <f aca="false">N37+O35</f>
        <v>1487.19806997042</v>
      </c>
      <c r="P37" s="43" t="n">
        <f aca="false">O37+P35</f>
        <v>7559.51090088252</v>
      </c>
      <c r="Q37" s="43" t="n">
        <f aca="false">P37+Q35</f>
        <v>17548.9095186282</v>
      </c>
      <c r="R37" s="43" t="n">
        <f aca="false">Q37+R35</f>
        <v>32749.2219152405</v>
      </c>
      <c r="S37" s="43" t="n">
        <f aca="false">R37+S35</f>
        <v>54883.22374797</v>
      </c>
      <c r="T37" s="43" t="n">
        <f aca="false">S37+T35</f>
        <v>86245.3471292381</v>
      </c>
      <c r="U37" s="43" t="n">
        <f aca="false">T37+U35</f>
        <v>129892.023290801</v>
      </c>
      <c r="V37" s="43" t="n">
        <f aca="false">U37+V35</f>
        <v>189895.606818731</v>
      </c>
      <c r="W37" s="43" t="n">
        <f aca="false">V37+W35</f>
        <v>271683.183360833</v>
      </c>
      <c r="X37" s="43" t="n">
        <f aca="false">W37+X35</f>
        <v>382488.719128862</v>
      </c>
      <c r="Y37" s="43" t="n">
        <f aca="false">X37+Y35</f>
        <v>531956.577200024</v>
      </c>
      <c r="Z37" s="44" t="n">
        <f aca="false">Y37+Z35</f>
        <v>707465.016786691</v>
      </c>
      <c r="AA37" s="43" t="n">
        <f aca="false">Z37+AA35</f>
        <v>888469.411892458</v>
      </c>
      <c r="AB37" s="43" t="n">
        <f aca="false">AA37+AB35</f>
        <v>1080646.33077223</v>
      </c>
      <c r="AC37" s="43" t="n">
        <f aca="false">AB37+AC35</f>
        <v>1284681.42092776</v>
      </c>
      <c r="AD37" s="43" t="n">
        <f aca="false">AC37+AD35</f>
        <v>1501303.39230383</v>
      </c>
      <c r="AE37" s="43" t="n">
        <f aca="false">AD37+AE35</f>
        <v>1731286.77675519</v>
      </c>
      <c r="AF37" s="43" t="n">
        <f aca="false">AE37+AF35</f>
        <v>1975454.86740811</v>
      </c>
      <c r="AG37" s="43" t="n">
        <f aca="false">AF37+AG35</f>
        <v>2234682.84981707</v>
      </c>
      <c r="AH37" s="43" t="n">
        <f aca="false">AG37+AH35</f>
        <v>2509901.13761466</v>
      </c>
      <c r="AI37" s="43" t="n">
        <f aca="false">AH37+AI35</f>
        <v>2802098.92620356</v>
      </c>
      <c r="AJ37" s="43" t="n">
        <f aca="false">AI37+AJ35</f>
        <v>3112327.97894893</v>
      </c>
      <c r="AK37" s="43" t="n">
        <f aca="false">AJ37+AK35</f>
        <v>3441706.66129942</v>
      </c>
      <c r="AL37" s="44" t="n">
        <f aca="false">M37</f>
        <v>-3975.50934400641</v>
      </c>
      <c r="AM37" s="43" t="n">
        <f aca="false">Y37</f>
        <v>531956.577200024</v>
      </c>
      <c r="AN37" s="43" t="n">
        <f aca="false">AK37</f>
        <v>3441706.66129942</v>
      </c>
    </row>
    <row r="38" customFormat="false" ht="14.25" hidden="true" customHeight="false" outlineLevel="0" collapsed="false">
      <c r="A38" s="45" t="s">
        <v>231</v>
      </c>
      <c r="B38" s="63" t="n">
        <f aca="false">IF(B35&gt;0,1,0)</f>
        <v>0</v>
      </c>
      <c r="C38" s="63" t="n">
        <f aca="false">IF(C35&gt;0,1,0)</f>
        <v>0</v>
      </c>
      <c r="D38" s="63" t="n">
        <f aca="false">IF(D35&gt;0,1,0)</f>
        <v>0</v>
      </c>
      <c r="E38" s="63" t="n">
        <f aca="false">IF(E35&gt;0,1,0)</f>
        <v>0</v>
      </c>
      <c r="F38" s="63" t="n">
        <f aca="false">IF(F35&gt;0,1,0)</f>
        <v>0</v>
      </c>
      <c r="G38" s="63" t="n">
        <f aca="false">IF(G35&gt;0,1,0)</f>
        <v>0</v>
      </c>
      <c r="H38" s="63" t="n">
        <f aca="false">IF(H35&gt;0,1,0)</f>
        <v>1</v>
      </c>
      <c r="I38" s="63" t="n">
        <f aca="false">IF(I35&gt;0,1,0)</f>
        <v>1</v>
      </c>
      <c r="J38" s="63" t="n">
        <f aca="false">IF(J35&gt;0,1,0)</f>
        <v>1</v>
      </c>
      <c r="K38" s="63" t="n">
        <f aca="false">IF(K35&gt;0,1,0)</f>
        <v>1</v>
      </c>
      <c r="L38" s="63" t="n">
        <f aca="false">IF(L35&gt;0,1,0)</f>
        <v>1</v>
      </c>
      <c r="M38" s="63" t="n">
        <f aca="false">IF(M35&gt;0,1,0)</f>
        <v>1</v>
      </c>
      <c r="N38" s="64" t="n">
        <f aca="false">IF(N35&gt;0,1,0)</f>
        <v>1</v>
      </c>
      <c r="O38" s="63" t="n">
        <f aca="false">IF(O35&gt;0,1,0)</f>
        <v>1</v>
      </c>
      <c r="P38" s="63" t="n">
        <f aca="false">IF(P35&gt;0,1,0)</f>
        <v>1</v>
      </c>
      <c r="Q38" s="63" t="n">
        <f aca="false">IF(Q35&gt;0,1,0)</f>
        <v>1</v>
      </c>
      <c r="R38" s="63" t="n">
        <f aca="false">IF(R35&gt;0,1,0)</f>
        <v>1</v>
      </c>
      <c r="S38" s="63" t="n">
        <f aca="false">IF(S35&gt;0,1,0)</f>
        <v>1</v>
      </c>
      <c r="T38" s="63" t="n">
        <f aca="false">IF(T35&gt;0,1,0)</f>
        <v>1</v>
      </c>
      <c r="U38" s="63" t="n">
        <f aca="false">IF(U35&gt;0,1,0)</f>
        <v>1</v>
      </c>
      <c r="V38" s="63" t="n">
        <f aca="false">IF(V35&gt;0,1,0)</f>
        <v>1</v>
      </c>
      <c r="W38" s="63" t="n">
        <f aca="false">IF(W35&gt;0,1,0)</f>
        <v>1</v>
      </c>
      <c r="X38" s="63" t="n">
        <f aca="false">IF(X35&gt;0,1,0)</f>
        <v>1</v>
      </c>
      <c r="Y38" s="63" t="n">
        <f aca="false">IF(Y35&gt;0,1,0)</f>
        <v>1</v>
      </c>
      <c r="Z38" s="64" t="n">
        <f aca="false">IF(Z35&gt;0,1,0)</f>
        <v>1</v>
      </c>
      <c r="AA38" s="63" t="n">
        <f aca="false">IF(AA35&gt;0,1,0)</f>
        <v>1</v>
      </c>
      <c r="AB38" s="63" t="n">
        <f aca="false">IF(AB35&gt;0,1,0)</f>
        <v>1</v>
      </c>
      <c r="AC38" s="63" t="n">
        <f aca="false">IF(AC35&gt;0,1,0)</f>
        <v>1</v>
      </c>
      <c r="AD38" s="63" t="n">
        <f aca="false">IF(AD35&gt;0,1,0)</f>
        <v>1</v>
      </c>
      <c r="AE38" s="63" t="n">
        <f aca="false">IF(AE35&gt;0,1,0)</f>
        <v>1</v>
      </c>
      <c r="AF38" s="63" t="n">
        <f aca="false">IF(AF35&gt;0,1,0)</f>
        <v>1</v>
      </c>
      <c r="AG38" s="63" t="n">
        <f aca="false">IF(AG35&gt;0,1,0)</f>
        <v>1</v>
      </c>
      <c r="AH38" s="63" t="n">
        <f aca="false">IF(AH35&gt;0,1,0)</f>
        <v>1</v>
      </c>
      <c r="AI38" s="63" t="n">
        <f aca="false">IF(AI35&gt;0,1,0)</f>
        <v>1</v>
      </c>
      <c r="AJ38" s="63" t="n">
        <f aca="false">IF(AJ35&gt;0,1,0)</f>
        <v>1</v>
      </c>
      <c r="AK38" s="63" t="n">
        <f aca="false">IF(AK35&gt;0,1,0)</f>
        <v>1</v>
      </c>
      <c r="AL38" s="41"/>
    </row>
    <row r="39" customFormat="false" ht="14.25" hidden="true" customHeight="false" outlineLevel="0" collapsed="false">
      <c r="A39" s="45" t="s">
        <v>232</v>
      </c>
      <c r="B39" s="63" t="n">
        <f aca="false">IF(B37&gt;0,1,0)</f>
        <v>0</v>
      </c>
      <c r="C39" s="63" t="n">
        <f aca="false">IF(C37&gt;0,1,0)</f>
        <v>0</v>
      </c>
      <c r="D39" s="63" t="n">
        <f aca="false">IF(D37&gt;0,1,0)</f>
        <v>0</v>
      </c>
      <c r="E39" s="63" t="n">
        <f aca="false">IF(E37&gt;0,1,0)</f>
        <v>0</v>
      </c>
      <c r="F39" s="63" t="n">
        <f aca="false">IF(F37&gt;0,1,0)</f>
        <v>0</v>
      </c>
      <c r="G39" s="63" t="n">
        <f aca="false">IF(G37&gt;0,1,0)</f>
        <v>0</v>
      </c>
      <c r="H39" s="63" t="n">
        <f aca="false">IF(H37&gt;0,1,0)</f>
        <v>0</v>
      </c>
      <c r="I39" s="63" t="n">
        <f aca="false">IF(I37&gt;0,1,0)</f>
        <v>0</v>
      </c>
      <c r="J39" s="63" t="n">
        <f aca="false">IF(J37&gt;0,1,0)</f>
        <v>0</v>
      </c>
      <c r="K39" s="63" t="n">
        <f aca="false">IF(K37&gt;0,1,0)</f>
        <v>0</v>
      </c>
      <c r="L39" s="63" t="n">
        <f aca="false">IF(L37&gt;0,1,0)</f>
        <v>0</v>
      </c>
      <c r="M39" s="63" t="n">
        <f aca="false">IF(M37&gt;0,1,0)</f>
        <v>0</v>
      </c>
      <c r="N39" s="64" t="n">
        <f aca="false">IF(N37&gt;0,1,0)</f>
        <v>0</v>
      </c>
      <c r="O39" s="63" t="n">
        <f aca="false">IF(O37&gt;0,1,0)</f>
        <v>1</v>
      </c>
      <c r="P39" s="63" t="n">
        <f aca="false">IF(P37&gt;0,1,0)</f>
        <v>1</v>
      </c>
      <c r="Q39" s="63" t="n">
        <f aca="false">IF(Q37&gt;0,1,0)</f>
        <v>1</v>
      </c>
      <c r="R39" s="63" t="n">
        <f aca="false">IF(R37&gt;0,1,0)</f>
        <v>1</v>
      </c>
      <c r="S39" s="63" t="n">
        <f aca="false">IF(S37&gt;0,1,0)</f>
        <v>1</v>
      </c>
      <c r="T39" s="63" t="n">
        <f aca="false">IF(T37&gt;0,1,0)</f>
        <v>1</v>
      </c>
      <c r="U39" s="63" t="n">
        <f aca="false">IF(U37&gt;0,1,0)</f>
        <v>1</v>
      </c>
      <c r="V39" s="63" t="n">
        <f aca="false">IF(V37&gt;0,1,0)</f>
        <v>1</v>
      </c>
      <c r="W39" s="63" t="n">
        <f aca="false">IF(W37&gt;0,1,0)</f>
        <v>1</v>
      </c>
      <c r="X39" s="63" t="n">
        <f aca="false">IF(X37&gt;0,1,0)</f>
        <v>1</v>
      </c>
      <c r="Y39" s="63" t="n">
        <f aca="false">IF(Y37&gt;0,1,0)</f>
        <v>1</v>
      </c>
      <c r="Z39" s="64" t="n">
        <f aca="false">IF(Z37&gt;0,1,0)</f>
        <v>1</v>
      </c>
      <c r="AA39" s="63" t="n">
        <f aca="false">IF(AA37&gt;0,1,0)</f>
        <v>1</v>
      </c>
      <c r="AB39" s="63" t="n">
        <f aca="false">IF(AB37&gt;0,1,0)</f>
        <v>1</v>
      </c>
      <c r="AC39" s="63" t="n">
        <f aca="false">IF(AC37&gt;0,1,0)</f>
        <v>1</v>
      </c>
      <c r="AD39" s="63" t="n">
        <f aca="false">IF(AD37&gt;0,1,0)</f>
        <v>1</v>
      </c>
      <c r="AE39" s="63" t="n">
        <f aca="false">IF(AE37&gt;0,1,0)</f>
        <v>1</v>
      </c>
      <c r="AF39" s="63" t="n">
        <f aca="false">IF(AF37&gt;0,1,0)</f>
        <v>1</v>
      </c>
      <c r="AG39" s="63" t="n">
        <f aca="false">IF(AG37&gt;0,1,0)</f>
        <v>1</v>
      </c>
      <c r="AH39" s="63" t="n">
        <f aca="false">IF(AH37&gt;0,1,0)</f>
        <v>1</v>
      </c>
      <c r="AI39" s="63" t="n">
        <f aca="false">IF(AI37&gt;0,1,0)</f>
        <v>1</v>
      </c>
      <c r="AJ39" s="63" t="n">
        <f aca="false">IF(AJ37&gt;0,1,0)</f>
        <v>1</v>
      </c>
      <c r="AK39" s="63" t="n">
        <f aca="false">IF(AK37&gt;0,1,0)</f>
        <v>1</v>
      </c>
      <c r="AL39" s="41"/>
    </row>
  </sheetData>
  <mergeCells count="3">
    <mergeCell ref="B4:M4"/>
    <mergeCell ref="N4:Y4"/>
    <mergeCell ref="Z4:A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K5" activeCellId="0" sqref="K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12" min="2" style="0" width="13"/>
  </cols>
  <sheetData>
    <row r="1" customFormat="false" ht="18" hidden="false" customHeight="true" outlineLevel="0" collapsed="false">
      <c r="A1" s="33" t="s">
        <v>233</v>
      </c>
    </row>
    <row r="2" customFormat="false" ht="14.25" hidden="false" customHeight="false" outlineLevel="0" collapsed="false">
      <c r="A2" s="3" t="s">
        <v>234</v>
      </c>
    </row>
    <row r="4" customFormat="false" ht="14.25" hidden="false" customHeight="false" outlineLevel="0" collapsed="false">
      <c r="B4" s="65" t="s">
        <v>235</v>
      </c>
      <c r="C4" s="65"/>
      <c r="E4" s="65" t="s">
        <v>236</v>
      </c>
      <c r="F4" s="65"/>
      <c r="H4" s="65" t="s">
        <v>237</v>
      </c>
      <c r="I4" s="65"/>
      <c r="K4" s="65" t="s">
        <v>238</v>
      </c>
      <c r="L4" s="65"/>
    </row>
    <row r="5" customFormat="false" ht="24" hidden="false" customHeight="true" outlineLevel="0" collapsed="false">
      <c r="B5" s="66" t="n">
        <f aca="false">'Monthly P&amp;L'!AL14+'Monthly P&amp;L'!AM14+'Monthly P&amp;L'!AN14</f>
        <v>6176043.69744955</v>
      </c>
      <c r="C5" s="66"/>
      <c r="E5" s="66" t="n">
        <f aca="false">'Monthly P&amp;L'!AN37</f>
        <v>3441706.66129942</v>
      </c>
      <c r="F5" s="66"/>
      <c r="H5" s="67" t="str">
        <f aca="false">"Month "&amp;MATCH(1,'Monthly P&amp;L'!B39:AK39,0)&amp;"  ("&amp;INDEX('Monthly P&amp;L'!B5:AK5,MATCH(1,'Monthly P&amp;L'!B39:AK39,0))&amp;")"</f>
        <v>Month 14  (Y2M2)</v>
      </c>
      <c r="I5" s="67"/>
      <c r="K5" s="66" t="n">
        <f aca="false">Assumptions!B77+MAX(0,-MIN('Monthly P&amp;L'!B37:AK37))</f>
        <v>14576.9454225699</v>
      </c>
      <c r="L5" s="66"/>
    </row>
    <row r="8" customFormat="false" ht="18" hidden="false" customHeight="true" outlineLevel="0" collapsed="false">
      <c r="A8" s="57" t="s">
        <v>239</v>
      </c>
      <c r="B8" s="58"/>
      <c r="C8" s="58"/>
      <c r="D8" s="58"/>
      <c r="E8" s="58"/>
    </row>
    <row r="9" customFormat="false" ht="14.25" hidden="false" customHeight="false" outlineLevel="0" collapsed="false">
      <c r="B9" s="40" t="s">
        <v>240</v>
      </c>
      <c r="C9" s="40" t="s">
        <v>241</v>
      </c>
      <c r="D9" s="40" t="s">
        <v>242</v>
      </c>
      <c r="E9" s="40" t="s">
        <v>243</v>
      </c>
    </row>
    <row r="10" customFormat="false" ht="14.25" hidden="false" customHeight="false" outlineLevel="0" collapsed="false">
      <c r="A10" s="42" t="s">
        <v>244</v>
      </c>
      <c r="B10" s="68" t="n">
        <f aca="false">'Monthly P&amp;L'!AL14</f>
        <v>115807.289484089</v>
      </c>
      <c r="C10" s="68" t="n">
        <f aca="false">'Monthly P&amp;L'!AM14</f>
        <v>1144077.04654286</v>
      </c>
      <c r="D10" s="68" t="n">
        <f aca="false">'Monthly P&amp;L'!AN14</f>
        <v>4916159.3614226</v>
      </c>
      <c r="E10" s="43" t="n">
        <f aca="false">SUM(B10:D10)</f>
        <v>6176043.69744955</v>
      </c>
    </row>
    <row r="11" customFormat="false" ht="14.25" hidden="false" customHeight="false" outlineLevel="0" collapsed="false">
      <c r="A11" s="42" t="s">
        <v>245</v>
      </c>
      <c r="B11" s="68" t="n">
        <f aca="false">'Monthly P&amp;L'!AL23</f>
        <v>-43622.7988280955</v>
      </c>
      <c r="C11" s="68" t="n">
        <f aca="false">'Monthly P&amp;L'!AM23</f>
        <v>-433424.95999883</v>
      </c>
      <c r="D11" s="68" t="n">
        <f aca="false">'Monthly P&amp;L'!AN23</f>
        <v>-1862489.2773232</v>
      </c>
      <c r="E11" s="43" t="n">
        <f aca="false">SUM(B11:D11)</f>
        <v>-2339537.03615013</v>
      </c>
    </row>
    <row r="12" customFormat="false" ht="14.25" hidden="false" customHeight="false" outlineLevel="0" collapsed="false">
      <c r="A12" s="60" t="s">
        <v>246</v>
      </c>
      <c r="B12" s="69" t="n">
        <f aca="false">'Monthly P&amp;L'!AL25</f>
        <v>72184.4906559936</v>
      </c>
      <c r="C12" s="69" t="n">
        <f aca="false">'Monthly P&amp;L'!AM25</f>
        <v>710652.086544031</v>
      </c>
      <c r="D12" s="69" t="n">
        <f aca="false">'Monthly P&amp;L'!AN25</f>
        <v>3053670.0840994</v>
      </c>
      <c r="E12" s="61" t="n">
        <f aca="false">SUM(B12:D12)</f>
        <v>3836506.66129942</v>
      </c>
    </row>
    <row r="13" customFormat="false" ht="14.25" hidden="false" customHeight="false" outlineLevel="0" collapsed="false">
      <c r="A13" s="49" t="s">
        <v>247</v>
      </c>
      <c r="B13" s="70" t="n">
        <f aca="false">'Monthly P&amp;L'!AL26</f>
        <v>0.623315604549324</v>
      </c>
      <c r="C13" s="70" t="n">
        <f aca="false">'Monthly P&amp;L'!AM26</f>
        <v>0.621157542397568</v>
      </c>
      <c r="D13" s="70" t="n">
        <f aca="false">'Monthly P&amp;L'!AN26</f>
        <v>0.621149531494388</v>
      </c>
      <c r="E13" s="47" t="n">
        <f aca="false">E12/E10</f>
        <v>0.621191631607746</v>
      </c>
    </row>
    <row r="14" customFormat="false" ht="14.25" hidden="false" customHeight="false" outlineLevel="0" collapsed="false">
      <c r="A14" s="42" t="s">
        <v>248</v>
      </c>
      <c r="B14" s="68" t="n">
        <f aca="false">'Monthly P&amp;L'!AL33</f>
        <v>-76160</v>
      </c>
      <c r="C14" s="68" t="n">
        <f aca="false">'Monthly P&amp;L'!AM33</f>
        <v>-174720</v>
      </c>
      <c r="D14" s="68" t="n">
        <f aca="false">'Monthly P&amp;L'!AN33</f>
        <v>-143920</v>
      </c>
      <c r="E14" s="43" t="n">
        <f aca="false">SUM(B14:D14)</f>
        <v>-394800</v>
      </c>
    </row>
    <row r="15" customFormat="false" ht="14.25" hidden="false" customHeight="false" outlineLevel="0" collapsed="false">
      <c r="A15" s="60" t="s">
        <v>228</v>
      </c>
      <c r="B15" s="69" t="n">
        <f aca="false">'Monthly P&amp;L'!AL35</f>
        <v>-3975.50934400641</v>
      </c>
      <c r="C15" s="69" t="n">
        <f aca="false">'Monthly P&amp;L'!AM35</f>
        <v>535932.086544031</v>
      </c>
      <c r="D15" s="69" t="n">
        <f aca="false">'Monthly P&amp;L'!AN35</f>
        <v>2909750.0840994</v>
      </c>
      <c r="E15" s="61" t="n">
        <f aca="false">SUM(B15:D15)</f>
        <v>3441706.66129942</v>
      </c>
    </row>
    <row r="16" customFormat="false" ht="14.25" hidden="false" customHeight="false" outlineLevel="0" collapsed="false">
      <c r="A16" s="49" t="s">
        <v>249</v>
      </c>
      <c r="B16" s="70" t="n">
        <f aca="false">'Monthly P&amp;L'!AL36</f>
        <v>-0.0343286623986879</v>
      </c>
      <c r="C16" s="70" t="n">
        <f aca="false">'Monthly P&amp;L'!AM36</f>
        <v>0.468440554911485</v>
      </c>
      <c r="D16" s="70" t="n">
        <f aca="false">'Monthly P&amp;L'!AN36</f>
        <v>0.591874646483672</v>
      </c>
      <c r="E16" s="47" t="n">
        <f aca="false">E15/E10</f>
        <v>0.557267213429967</v>
      </c>
    </row>
    <row r="18" customFormat="false" ht="18" hidden="false" customHeight="true" outlineLevel="0" collapsed="false">
      <c r="A18" s="57" t="s">
        <v>250</v>
      </c>
      <c r="B18" s="58"/>
      <c r="C18" s="58"/>
      <c r="D18" s="58"/>
      <c r="E18" s="58"/>
    </row>
    <row r="19" customFormat="false" ht="14.25" hidden="false" customHeight="false" outlineLevel="0" collapsed="false">
      <c r="B19" s="40" t="s">
        <v>240</v>
      </c>
      <c r="C19" s="40" t="s">
        <v>241</v>
      </c>
      <c r="D19" s="40" t="s">
        <v>242</v>
      </c>
    </row>
    <row r="20" customFormat="false" ht="14.25" hidden="false" customHeight="false" outlineLevel="0" collapsed="false">
      <c r="A20" s="45" t="s">
        <v>205</v>
      </c>
      <c r="B20" s="70" t="n">
        <f aca="false">'Monthly P&amp;L'!AL8/'Monthly P&amp;L'!AL14</f>
        <v>0.433605070645207</v>
      </c>
      <c r="C20" s="70" t="n">
        <f aca="false">'Monthly P&amp;L'!AM8/'Monthly P&amp;L'!AM14</f>
        <v>0.321963150605705</v>
      </c>
      <c r="D20" s="70" t="n">
        <f aca="false">'Monthly P&amp;L'!AN8/'Monthly P&amp;L'!AN14</f>
        <v>0.262781823179236</v>
      </c>
    </row>
    <row r="21" customFormat="false" ht="14.25" hidden="false" customHeight="false" outlineLevel="0" collapsed="false">
      <c r="A21" s="45" t="s">
        <v>206</v>
      </c>
      <c r="B21" s="70" t="n">
        <f aca="false">'Monthly P&amp;L'!AL9/'Monthly P&amp;L'!AL14</f>
        <v>0.0317977051806485</v>
      </c>
      <c r="C21" s="70" t="n">
        <f aca="false">'Monthly P&amp;L'!AM9/'Monthly P&amp;L'!AM14</f>
        <v>0.0472212620888367</v>
      </c>
      <c r="D21" s="70" t="n">
        <f aca="false">'Monthly P&amp;L'!AN9/'Monthly P&amp;L'!AN14</f>
        <v>0.0578120010994319</v>
      </c>
    </row>
    <row r="22" customFormat="false" ht="14.25" hidden="false" customHeight="false" outlineLevel="0" collapsed="false">
      <c r="A22" s="45" t="s">
        <v>207</v>
      </c>
      <c r="B22" s="70" t="n">
        <f aca="false">'Monthly P&amp;L'!AL10/'Monthly P&amp;L'!AL14</f>
        <v>0</v>
      </c>
      <c r="C22" s="70" t="n">
        <f aca="false">'Monthly P&amp;L'!AM10/'Monthly P&amp;L'!AM14</f>
        <v>0</v>
      </c>
      <c r="D22" s="70" t="n">
        <f aca="false">'Monthly P&amp;L'!AN10/'Monthly P&amp;L'!AN14</f>
        <v>0</v>
      </c>
    </row>
    <row r="23" customFormat="false" ht="14.25" hidden="false" customHeight="false" outlineLevel="0" collapsed="false">
      <c r="A23" s="45" t="s">
        <v>208</v>
      </c>
      <c r="B23" s="70" t="n">
        <f aca="false">'Monthly P&amp;L'!AL11/'Monthly P&amp;L'!AL14</f>
        <v>-0.00635954103612971</v>
      </c>
      <c r="C23" s="70" t="n">
        <f aca="false">'Monthly P&amp;L'!AM11/'Monthly P&amp;L'!AM14</f>
        <v>-0.00590265776110458</v>
      </c>
      <c r="D23" s="70" t="n">
        <f aca="false">'Monthly P&amp;L'!AN11/'Monthly P&amp;L'!AN14</f>
        <v>-0.00578120010994319</v>
      </c>
    </row>
    <row r="24" customFormat="false" ht="14.25" hidden="false" customHeight="false" outlineLevel="0" collapsed="false">
      <c r="A24" s="45" t="s">
        <v>209</v>
      </c>
      <c r="B24" s="70" t="n">
        <f aca="false">'Monthly P&amp;L'!AL12/'Monthly P&amp;L'!AL14</f>
        <v>0.458793437217822</v>
      </c>
      <c r="C24" s="70" t="n">
        <f aca="false">'Monthly P&amp;L'!AM12/'Monthly P&amp;L'!AM14</f>
        <v>0.558646198787761</v>
      </c>
      <c r="D24" s="70" t="n">
        <f aca="false">'Monthly P&amp;L'!AN12/'Monthly P&amp;L'!AN14</f>
        <v>0.596735002193908</v>
      </c>
    </row>
    <row r="25" customFormat="false" ht="14.25" hidden="false" customHeight="false" outlineLevel="0" collapsed="false">
      <c r="A25" s="45" t="s">
        <v>210</v>
      </c>
      <c r="B25" s="70" t="n">
        <f aca="false">'Monthly P&amp;L'!AL13/'Monthly P&amp;L'!AL14</f>
        <v>0.0821633279924515</v>
      </c>
      <c r="C25" s="70" t="n">
        <f aca="false">'Monthly P&amp;L'!AM13/'Monthly P&amp;L'!AM14</f>
        <v>0.0780720462788021</v>
      </c>
      <c r="D25" s="70" t="n">
        <f aca="false">'Monthly P&amp;L'!AN13/'Monthly P&amp;L'!AN14</f>
        <v>0.0884523736373672</v>
      </c>
    </row>
    <row r="27" customFormat="false" ht="18" hidden="false" customHeight="true" outlineLevel="0" collapsed="false">
      <c r="A27" s="57" t="s">
        <v>251</v>
      </c>
      <c r="B27" s="58"/>
      <c r="C27" s="58"/>
      <c r="D27" s="58"/>
      <c r="E27" s="58"/>
    </row>
    <row r="28" customFormat="false" ht="14.25" hidden="false" customHeight="false" outlineLevel="0" collapsed="false">
      <c r="B28" s="40" t="s">
        <v>240</v>
      </c>
      <c r="C28" s="40" t="s">
        <v>241</v>
      </c>
      <c r="D28" s="40" t="s">
        <v>242</v>
      </c>
    </row>
    <row r="29" customFormat="false" ht="14.25" hidden="false" customHeight="false" outlineLevel="0" collapsed="false">
      <c r="A29" s="45" t="s">
        <v>145</v>
      </c>
      <c r="B29" s="68" t="n">
        <f aca="false">'Volume &amp; Funnel Build'!AL7</f>
        <v>770.000000000001</v>
      </c>
      <c r="C29" s="68" t="n">
        <f aca="false">'Volume &amp; Funnel Build'!AM7</f>
        <v>13860</v>
      </c>
      <c r="D29" s="68" t="n">
        <f aca="false">'Volume &amp; Funnel Build'!AN7</f>
        <v>23100</v>
      </c>
    </row>
    <row r="30" customFormat="false" ht="14.25" hidden="false" customHeight="false" outlineLevel="0" collapsed="false">
      <c r="A30" s="45" t="s">
        <v>252</v>
      </c>
      <c r="B30" s="70" t="n">
        <f aca="false">'Volume &amp; Funnel Build'!AL9</f>
        <v>0.01</v>
      </c>
      <c r="C30" s="70" t="n">
        <f aca="false">'Volume &amp; Funnel Build'!AM9</f>
        <v>0.18</v>
      </c>
      <c r="D30" s="70" t="n">
        <f aca="false">'Volume &amp; Funnel Build'!AN9</f>
        <v>0.3</v>
      </c>
    </row>
    <row r="31" customFormat="false" ht="14.25" hidden="false" customHeight="false" outlineLevel="0" collapsed="false">
      <c r="A31" s="45" t="s">
        <v>148</v>
      </c>
      <c r="B31" s="68" t="n">
        <f aca="false">'Volume &amp; Funnel Build'!AL11</f>
        <v>115.5</v>
      </c>
      <c r="C31" s="68" t="n">
        <f aca="false">'Volume &amp; Funnel Build'!AM11</f>
        <v>2494.8</v>
      </c>
      <c r="D31" s="68" t="n">
        <f aca="false">'Volume &amp; Funnel Build'!AN11</f>
        <v>4620</v>
      </c>
    </row>
    <row r="32" customFormat="false" ht="14.25" hidden="false" customHeight="false" outlineLevel="0" collapsed="false">
      <c r="A32" s="45" t="s">
        <v>253</v>
      </c>
      <c r="B32" s="68" t="n">
        <f aca="false">'Volume &amp; Funnel Build'!M13</f>
        <v>31.185</v>
      </c>
      <c r="C32" s="68" t="n">
        <f aca="false">'Volume &amp; Funnel Build'!Y13</f>
        <v>673.596000000001</v>
      </c>
      <c r="D32" s="68" t="n">
        <f aca="false">'Volume &amp; Funnel Build'!AK13</f>
        <v>1247.4</v>
      </c>
    </row>
    <row r="33" customFormat="false" ht="14.25" hidden="false" customHeight="false" outlineLevel="0" collapsed="false">
      <c r="A33" s="45" t="s">
        <v>254</v>
      </c>
      <c r="B33" s="68" t="n">
        <f aca="false">'Volume &amp; Funnel Build'!AL17</f>
        <v>11.55</v>
      </c>
      <c r="C33" s="68" t="n">
        <f aca="false">'Volume &amp; Funnel Build'!AM17</f>
        <v>299.376</v>
      </c>
      <c r="D33" s="68" t="n">
        <f aca="false">'Volume &amp; Funnel Build'!AN17</f>
        <v>600.6</v>
      </c>
    </row>
    <row r="34" customFormat="false" ht="14.25" hidden="false" customHeight="false" outlineLevel="0" collapsed="false">
      <c r="A34" s="45" t="s">
        <v>255</v>
      </c>
      <c r="B34" s="68" t="n">
        <f aca="false">'Volume &amp; Funnel Build'!AL23</f>
        <v>6.93000000000001</v>
      </c>
      <c r="C34" s="68" t="n">
        <f aca="false">'Volume &amp; Funnel Build'!AM23</f>
        <v>174.636</v>
      </c>
      <c r="D34" s="68" t="n">
        <f aca="false">'Volume &amp; Funnel Build'!AN23</f>
        <v>392.7</v>
      </c>
    </row>
    <row r="36" customFormat="false" ht="18" hidden="false" customHeight="true" outlineLevel="0" collapsed="false">
      <c r="A36" s="57" t="s">
        <v>256</v>
      </c>
      <c r="B36" s="58"/>
      <c r="C36" s="58"/>
      <c r="D36" s="58"/>
      <c r="E36" s="58"/>
    </row>
    <row r="37" customFormat="false" ht="14.25" hidden="false" customHeight="false" outlineLevel="0" collapsed="false">
      <c r="A37" s="42" t="s">
        <v>257</v>
      </c>
      <c r="B37" s="68" t="n">
        <f aca="false">Assumptions!B77</f>
        <v>5000</v>
      </c>
    </row>
    <row r="38" customFormat="false" ht="14.25" hidden="false" customHeight="false" outlineLevel="0" collapsed="false">
      <c r="A38" s="42" t="s">
        <v>258</v>
      </c>
      <c r="B38" s="68" t="n">
        <f aca="false">MAX(0,-MIN('Monthly P&amp;L'!B37:AK37))</f>
        <v>9576.94542256988</v>
      </c>
    </row>
    <row r="39" customFormat="false" ht="14.25" hidden="false" customHeight="false" outlineLevel="0" collapsed="false">
      <c r="A39" s="60" t="s">
        <v>259</v>
      </c>
      <c r="B39" s="61" t="n">
        <f aca="false">B37+B38</f>
        <v>14576.9454225699</v>
      </c>
    </row>
    <row r="41" customFormat="false" ht="39.75" hidden="false" customHeight="true" outlineLevel="0" collapsed="false">
      <c r="A41" s="71" t="s">
        <v>260</v>
      </c>
      <c r="B41" s="71"/>
      <c r="C41" s="71"/>
      <c r="D41" s="71"/>
      <c r="E41" s="71"/>
    </row>
  </sheetData>
  <mergeCells count="9">
    <mergeCell ref="B4:C4"/>
    <mergeCell ref="E4:F4"/>
    <mergeCell ref="H4:I4"/>
    <mergeCell ref="K4:L4"/>
    <mergeCell ref="B5:C5"/>
    <mergeCell ref="E5:F5"/>
    <mergeCell ref="H5:I5"/>
    <mergeCell ref="K5:L5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2026-06-15T19:50:29Z</dcterms:created>
  <dc:creator>openpyxl</dc:creator>
  <dc:description/>
  <dc:language>en-US</dc:language>
  <cp:lastModifiedBy>Hashir Faraz</cp:lastModifiedBy>
  <dcterms:modified xsi:type="dcterms:W3CDTF">2026-07-27T14:09:56Z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