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Red Flags" sheetId="2" state="visible" r:id="rId4"/>
  </sheets>
  <definedNames>
    <definedName function="false" hidden="true" localSheetId="1" name="_xlnm._FilterDatabase" vbProcedure="false">'Red Flags'!$C$4:$E$35</definedName>
    <definedName function="false" hidden="true" localSheetId="0" name="_xlnm._FilterDatabase" vbProcedure="false">Sheet1!$A$3:$AH$39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2" authorId="0">
      <text>
        <r>
          <rPr>
            <sz val="10"/>
            <rFont val="Arial"/>
            <family val="2"/>
          </rPr>
          <t xml:space="preserve">Nihar:
Lesser weightage since the metrics are almost 6 years old</t>
        </r>
      </text>
    </comment>
  </commentList>
</comments>
</file>

<file path=xl/sharedStrings.xml><?xml version="1.0" encoding="utf-8"?>
<sst xmlns="http://schemas.openxmlformats.org/spreadsheetml/2006/main" count="285" uniqueCount="158">
  <si>
    <t xml:space="preserve">Country/Market</t>
  </si>
  <si>
    <t xml:space="preserve">Scored Rank</t>
  </si>
  <si>
    <t xml:space="preserve">Population (2024, M)</t>
  </si>
  <si>
    <t xml:space="preserve">Urban Pop (%)</t>
  </si>
  <si>
    <t xml:space="preserve">Youth 15 - 34 (%)</t>
  </si>
  <si>
    <t xml:space="preserve"># Boba Shops per million people</t>
  </si>
  <si>
    <t xml:space="preserve">GDP per Capita (2024, USD)</t>
  </si>
  <si>
    <t xml:space="preserve">Ease of  Business (DB2020 Rank)</t>
  </si>
  <si>
    <t xml:space="preserve">Franchise Already Present in Region</t>
  </si>
  <si>
    <t xml:space="preserve">Supply Chain Feasibility</t>
  </si>
  <si>
    <t xml:space="preserve">Supply Chain Notes
(Origin to Destination)</t>
  </si>
  <si>
    <t xml:space="preserve">Avg. Boba Price (median)</t>
  </si>
  <si>
    <t xml:space="preserve"># of Boba Shops (median)</t>
  </si>
  <si>
    <t xml:space="preserve">Delivery Apps Presence</t>
  </si>
  <si>
    <t xml:space="preserve">Summary</t>
  </si>
  <si>
    <t xml:space="preserve">Rank</t>
  </si>
  <si>
    <t xml:space="preserve">Weighted Score</t>
  </si>
  <si>
    <t xml:space="preserve">Weightage</t>
  </si>
  <si>
    <t xml:space="preserve">Pop</t>
  </si>
  <si>
    <t xml:space="preserve"> Urban Pop %</t>
  </si>
  <si>
    <t xml:space="preserve">Youth Pop</t>
  </si>
  <si>
    <t xml:space="preserve">Boba Price</t>
  </si>
  <si>
    <t xml:space="preserve"># of Boba Shops</t>
  </si>
  <si>
    <t xml:space="preserve"># of shops/mil</t>
  </si>
  <si>
    <t xml:space="preserve">GDP/
Capita</t>
  </si>
  <si>
    <t xml:space="preserve">Ease of Business</t>
  </si>
  <si>
    <t xml:space="preserve">SC Feasibility</t>
  </si>
  <si>
    <t xml:space="preserve">Total Score</t>
  </si>
  <si>
    <t xml:space="preserve">Include in Ranking</t>
  </si>
  <si>
    <t xml:space="preserve">India - Delhi NCR</t>
  </si>
  <si>
    <t xml:space="preserve">High</t>
  </si>
  <si>
    <t xml:space="preserve">Swiggy, Zomato, Blinkit, Zepto, Dunzo</t>
  </si>
  <si>
    <t xml:space="preserve">Big youth market (Noida, Gurugram campuses), strong mall presence, competitive mid-price range.</t>
  </si>
  <si>
    <t xml:space="preserve">India - Hyderabad</t>
  </si>
  <si>
    <t xml:space="preserve">Swiggy, Zomato</t>
  </si>
  <si>
    <t xml:space="preserve">Growing café/tea market, affordability key, malls &amp; Jubilee Hills premium spots.</t>
  </si>
  <si>
    <t xml:space="preserve">India - Pune</t>
  </si>
  <si>
    <t xml:space="preserve">Very young demographic, smaller but high trial potential.</t>
  </si>
  <si>
    <t xml:space="preserve">India - Mumbai</t>
  </si>
  <si>
    <t xml:space="preserve">Dense mall &amp; café culture, high expat/student mix, premium locations in Bandra/SoBo work well.</t>
  </si>
  <si>
    <t xml:space="preserve">Indonesia</t>
  </si>
  <si>
    <t xml:space="preserve">GoFood, GrabFood, ShopeeFood</t>
  </si>
  <si>
    <t xml:space="preserve">Multiple islands, leading to higher transportation costs to ensure quality</t>
  </si>
  <si>
    <t xml:space="preserve">India - Kerala</t>
  </si>
  <si>
    <t xml:space="preserve">Tea-driven culture, Slow Adoption Rate, Tourism in Kochi/Trivandrum adds demand.</t>
  </si>
  <si>
    <t xml:space="preserve">Pakistan</t>
  </si>
  <si>
    <t xml:space="preserve">Currency, policy volatility</t>
  </si>
  <si>
    <t xml:space="preserve">Foodpanda, Cheetay</t>
  </si>
  <si>
    <t xml:space="preserve">Emerging, but very price sensitive market</t>
  </si>
  <si>
    <t xml:space="preserve">South Korea</t>
  </si>
  <si>
    <t xml:space="preserve">Baemin, Coupang Eats</t>
  </si>
  <si>
    <t xml:space="preserve">More reliant on delivery</t>
  </si>
  <si>
    <t xml:space="preserve">Morocco</t>
  </si>
  <si>
    <t xml:space="preserve">Medium</t>
  </si>
  <si>
    <t xml:space="preserve">Glovo, Bolt Food</t>
  </si>
  <si>
    <t xml:space="preserve">Casablanca/Rabat/Marrakech, tourism helps premium trials.</t>
  </si>
  <si>
    <t xml:space="preserve">Turkey</t>
  </si>
  <si>
    <t xml:space="preserve">Customs unpredictability, paperwork tightening</t>
  </si>
  <si>
    <t xml:space="preserve">Yemeksepeti, Getir, Trendyol Yemek</t>
  </si>
  <si>
    <t xml:space="preserve">Istanbul/Ankara/Izmir strong, café culture mature, mid - high pricing possible.</t>
  </si>
  <si>
    <t xml:space="preserve">Peru</t>
  </si>
  <si>
    <t xml:space="preserve">Political/currency risk</t>
  </si>
  <si>
    <t xml:space="preserve">Rappi, PedidosYa</t>
  </si>
  <si>
    <t xml:space="preserve">Lima-centric, rising cafe culture, stable mid-tier demand.</t>
  </si>
  <si>
    <t xml:space="preserve">Vietnam</t>
  </si>
  <si>
    <t xml:space="preserve">GrabFood, ShopeeFood, Baemin</t>
  </si>
  <si>
    <t xml:space="preserve">In the early stage of Boba</t>
  </si>
  <si>
    <t xml:space="preserve">Kenya</t>
  </si>
  <si>
    <t xml:space="preserve">Customs delays, inland distribution challenges</t>
  </si>
  <si>
    <t xml:space="preserve">Glovo, Uber Eats</t>
  </si>
  <si>
    <t xml:space="preserve">Nairobi-centric, energetic youth market, supply-chain planning needed.</t>
  </si>
  <si>
    <t xml:space="preserve">Rwanda</t>
  </si>
  <si>
    <t xml:space="preserve">Low</t>
  </si>
  <si>
    <t xml:space="preserve">Landlocked, logistics</t>
  </si>
  <si>
    <t xml:space="preserve">Vuba Vuba, Bolt Food (limited)</t>
  </si>
  <si>
    <t xml:space="preserve">Kigali-focused, ease-of-business strong, small absolute volume.</t>
  </si>
  <si>
    <t xml:space="preserve">Bangladesh</t>
  </si>
  <si>
    <t xml:space="preserve">Port congestion, customs delays</t>
  </si>
  <si>
    <t xml:space="preserve">Foodpanda, Pathao Food</t>
  </si>
  <si>
    <t xml:space="preserve">Dhaka centric, can capture majoity of potential market without covering large geographical area</t>
  </si>
  <si>
    <t xml:space="preserve">Thailand</t>
  </si>
  <si>
    <t xml:space="preserve">GrabFood, foodpanda, LINE MAN</t>
  </si>
  <si>
    <t xml:space="preserve">Dense market with large number of shops</t>
  </si>
  <si>
    <t xml:space="preserve">Algeria</t>
  </si>
  <si>
    <t xml:space="preserve">Bureaucratic import process, FX limits</t>
  </si>
  <si>
    <t xml:space="preserve">Yassir Food</t>
  </si>
  <si>
    <t xml:space="preserve">Algiers/Oran focus, regulatory friction, growing delivery adoption.</t>
  </si>
  <si>
    <t xml:space="preserve">Colombia</t>
  </si>
  <si>
    <t xml:space="preserve">Long route, bureaucracy, currency</t>
  </si>
  <si>
    <t xml:space="preserve">Rappi, Uber Eats</t>
  </si>
  <si>
    <t xml:space="preserve">delivery-native consumers, price-sensitive mid-tier.</t>
  </si>
  <si>
    <t xml:space="preserve">Argentina</t>
  </si>
  <si>
    <t xml:space="preserve">High distance, import barriers, inflation</t>
  </si>
  <si>
    <t xml:space="preserve">Buenos Aires-centric, inflation/FX risk, youth trend adoption strong.</t>
  </si>
  <si>
    <t xml:space="preserve">Chile</t>
  </si>
  <si>
    <t xml:space="preserve">Long route, high cost, isolated</t>
  </si>
  <si>
    <t xml:space="preserve">Rappi, Uber Eats, PedidosYa</t>
  </si>
  <si>
    <t xml:space="preserve">High purchasing power, good test market for premium formats.</t>
  </si>
  <si>
    <t xml:space="preserve">Egypt</t>
  </si>
  <si>
    <t xml:space="preserve">Complex import licensing, FX shortages</t>
  </si>
  <si>
    <t xml:space="preserve">Talabat, Elmenus, Careem Food</t>
  </si>
  <si>
    <t xml:space="preserve">Cairo/Giza-focused, large youth base, price-sensitive, good mall locations key.</t>
  </si>
  <si>
    <t xml:space="preserve">Malta</t>
  </si>
  <si>
    <t xml:space="preserve">Small market, costly freight</t>
  </si>
  <si>
    <t xml:space="preserve">Wolt, Bolt, TimeToEat</t>
  </si>
  <si>
    <t xml:space="preserve">Small but affluent, useful as EU testbed, tourism adds volume.</t>
  </si>
  <si>
    <t xml:space="preserve">South Africa</t>
  </si>
  <si>
    <t xml:space="preserve">Long shipping time, import duties on processed foods</t>
  </si>
  <si>
    <t xml:space="preserve">Mr D Food, Uber Eats</t>
  </si>
  <si>
    <t xml:space="preserve">Johannesburg/Cape Town, strong mall culture, premium acceptable.</t>
  </si>
  <si>
    <t xml:space="preserve">Tanzania (Zanzibar)</t>
  </si>
  <si>
    <t xml:space="preserve">Weak port infrastructure, long clearance, small demand base</t>
  </si>
  <si>
    <t xml:space="preserve">Glovo (Dar), Piki, Bolt Food</t>
  </si>
  <si>
    <t xml:space="preserve">Tourist corridors (Zanzibar) + Dar es Salaam, import logistics to plan.</t>
  </si>
  <si>
    <t xml:space="preserve">Sri Lanka</t>
  </si>
  <si>
    <t xml:space="preserve">PickMe Food, Uber Eats</t>
  </si>
  <si>
    <t xml:space="preserve">Colombo-centric, recovering economy, good for mid-price positioning.</t>
  </si>
  <si>
    <t xml:space="preserve">Syria</t>
  </si>
  <si>
    <t xml:space="preserve">Economic &amp; political instability</t>
  </si>
  <si>
    <t xml:space="preserve">Limited platforms; localized delivery</t>
  </si>
  <si>
    <t xml:space="preserve">High macro risk, only niche/expat areas feasible, not a near-term priority.</t>
  </si>
  <si>
    <t xml:space="preserve">Nepal</t>
  </si>
  <si>
    <t xml:space="preserve">Landlocked; must route via India; long inland transport</t>
  </si>
  <si>
    <t xml:space="preserve">Foodmandu, Bhojdeals</t>
  </si>
  <si>
    <t xml:space="preserve">Kathmandu/Lalitpur/Pokhara, value-tier SKUs needed.</t>
  </si>
  <si>
    <t xml:space="preserve">Brazil</t>
  </si>
  <si>
    <t xml:space="preserve">Long route, high import duties</t>
  </si>
  <si>
    <t xml:space="preserve">iFood, Rappi</t>
  </si>
  <si>
    <t xml:space="preserve">Sao Paulo/Rio/BH hubs, scale potential, import duties/logistics to plan.</t>
  </si>
  <si>
    <t xml:space="preserve">China</t>
  </si>
  <si>
    <t xml:space="preserve">China-Taiwan political issues</t>
  </si>
  <si>
    <t xml:space="preserve">Meituan, Ele.me</t>
  </si>
  <si>
    <t xml:space="preserve">Massive but very competitive</t>
  </si>
  <si>
    <t xml:space="preserve">Lebanon</t>
  </si>
  <si>
    <t xml:space="preserve">Economic instability</t>
  </si>
  <si>
    <t xml:space="preserve">Toters, Talabat (select)</t>
  </si>
  <si>
    <t xml:space="preserve">Beirut-centric, premium niches exist, currency volatility risk.</t>
  </si>
  <si>
    <t xml:space="preserve">India - Bangalore</t>
  </si>
  <si>
    <t xml:space="preserve">Tech hub, café culture, trend adoption quick, students/young IT crowd drive demand.</t>
  </si>
  <si>
    <t xml:space="preserve">Japan</t>
  </si>
  <si>
    <t xml:space="preserve">UberEats, Demae-can, Wolt</t>
  </si>
  <si>
    <t xml:space="preserve">Premium market with a focus on quality</t>
  </si>
  <si>
    <t xml:space="preserve">Malaysia</t>
  </si>
  <si>
    <t xml:space="preserve">GrabFood, foodpanda, ShopeeFood</t>
  </si>
  <si>
    <t xml:space="preserve">Stable, mid-size, good regional hub.</t>
  </si>
  <si>
    <t xml:space="preserve">Philippines</t>
  </si>
  <si>
    <t xml:space="preserve">GrabFood, foodpanda</t>
  </si>
  <si>
    <t xml:space="preserve">Value driven market, focus on affordability</t>
  </si>
  <si>
    <t xml:space="preserve">Singapore</t>
  </si>
  <si>
    <t xml:space="preserve">GrabFood, foodpanda, Deliveroo</t>
  </si>
  <si>
    <t xml:space="preserve">Small population, but globally connected. Good consideration for franchise</t>
  </si>
  <si>
    <t xml:space="preserve">Taiwan</t>
  </si>
  <si>
    <t xml:space="preserve">UberEats, foodpanda</t>
  </si>
  <si>
    <t xml:space="preserve">Birthplace of Boba, high density, good for benchmarking product</t>
  </si>
  <si>
    <t xml:space="preserve">Country</t>
  </si>
  <si>
    <t xml:space="preserve">Main Red Flags</t>
  </si>
  <si>
    <t xml:space="preserve">Overall Feasibility</t>
  </si>
  <si>
    <t xml:space="preserve">India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</si>
</sst>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"/>
    <numFmt numFmtId="167" formatCode="#,##0"/>
  </numFmts>
  <fonts count="10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Segoe UI"/>
      <family val="2"/>
      <charset val="1"/>
    </font>
    <font>
      <sz val="11"/>
      <name val="Aptos Narrow"/>
      <family val="2"/>
      <charset val="1"/>
    </font>
    <font>
      <sz val="12"/>
      <name val="Segoe UI"/>
      <family val="2"/>
      <charset val="1"/>
    </font>
    <font>
      <sz val="12"/>
      <color theme="1"/>
      <name val="Segoe UI"/>
      <family val="2"/>
      <charset val="1"/>
    </font>
    <font>
      <sz val="10"/>
      <name val="Arial"/>
      <family val="2"/>
    </font>
    <font>
      <b val="true"/>
      <sz val="11"/>
      <color theme="0"/>
      <name val="Aptos Narrow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3" tint="0.8999"/>
        <bgColor rgb="FFD9D9D9"/>
      </patternFill>
    </fill>
    <fill>
      <patternFill patternType="solid">
        <fgColor theme="5" tint="0.7999"/>
        <bgColor rgb="FFD9D9D9"/>
      </patternFill>
    </fill>
    <fill>
      <patternFill patternType="solid">
        <fgColor rgb="FF343D46"/>
        <bgColor rgb="FF333300"/>
      </patternFill>
    </fill>
    <fill>
      <patternFill patternType="solid">
        <fgColor rgb="FFD8D8D8"/>
        <bgColor rgb="FFD9D9D9"/>
      </patternFill>
    </fill>
    <fill>
      <patternFill patternType="solid">
        <fgColor rgb="FFFF0000"/>
        <bgColor rgb="FF9C0006"/>
      </patternFill>
    </fill>
  </fills>
  <borders count="3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>
        <color theme="0" tint="-0.15"/>
      </left>
      <right style="thin">
        <color theme="0" tint="-0.15"/>
      </right>
      <top/>
      <bottom style="thin">
        <color theme="0" tint="-0.15"/>
      </bottom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>
        <color theme="0" tint="-0.15"/>
      </left>
      <right/>
      <top/>
      <bottom style="thin">
        <color theme="0" tint="-0.15"/>
      </bottom>
      <diagonal/>
    </border>
    <border diagonalUp="false" diagonalDown="false">
      <left/>
      <right/>
      <top style="thin"/>
      <bottom/>
      <diagonal/>
    </border>
    <border diagonalUp="false" diagonalDown="false"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>
        <color theme="0" tint="-0.15"/>
      </left>
      <right/>
      <top style="thin">
        <color theme="0" tint="-0.15"/>
      </top>
      <bottom style="thin">
        <color theme="0" tint="-0.1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thin">
        <color theme="0" tint="-0.15"/>
      </left>
      <right style="thin">
        <color theme="0" tint="-0.15"/>
      </right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2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6" borderId="3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5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6" borderId="3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3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5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32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8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BC182"/>
          <bgColor rgb="FF000000"/>
        </patternFill>
      </fill>
    </dxf>
    <dxf>
      <fill>
        <patternFill patternType="solid">
          <fgColor rgb="FF74C58A"/>
          <bgColor rgb="FF000000"/>
        </patternFill>
      </fill>
    </dxf>
    <dxf>
      <fill>
        <patternFill patternType="solid">
          <fgColor rgb="FF7DC891"/>
          <bgColor rgb="FF000000"/>
        </patternFill>
      </fill>
    </dxf>
    <dxf>
      <fill>
        <patternFill patternType="solid">
          <fgColor rgb="FF85CC99"/>
          <bgColor rgb="FF000000"/>
        </patternFill>
      </fill>
    </dxf>
    <dxf>
      <fill>
        <patternFill patternType="solid">
          <fgColor rgb="FF8ECFA0"/>
          <bgColor rgb="FF000000"/>
        </patternFill>
      </fill>
    </dxf>
    <dxf>
      <fill>
        <patternFill patternType="solid">
          <fgColor rgb="FF97D3A8"/>
          <bgColor rgb="FF000000"/>
        </patternFill>
      </fill>
    </dxf>
    <dxf>
      <fill>
        <patternFill patternType="solid">
          <fgColor rgb="FFA0D6AF"/>
          <bgColor rgb="FF000000"/>
        </patternFill>
      </fill>
    </dxf>
    <dxf>
      <fill>
        <patternFill patternType="solid">
          <fgColor rgb="FFA8DAB7"/>
          <bgColor rgb="FF000000"/>
        </patternFill>
      </fill>
    </dxf>
    <dxf>
      <fill>
        <patternFill patternType="solid">
          <fgColor rgb="FFB1DDBE"/>
          <bgColor rgb="FF000000"/>
        </patternFill>
      </fill>
    </dxf>
    <dxf>
      <fill>
        <patternFill patternType="solid">
          <fgColor rgb="FFBAE1C6"/>
          <bgColor rgb="FF000000"/>
        </patternFill>
      </fill>
    </dxf>
    <dxf>
      <fill>
        <patternFill patternType="solid">
          <fgColor rgb="FFC3E4CD"/>
          <bgColor rgb="FF000000"/>
        </patternFill>
      </fill>
    </dxf>
    <dxf>
      <fill>
        <patternFill patternType="solid">
          <fgColor rgb="FFCBE8D5"/>
          <bgColor rgb="FF000000"/>
        </patternFill>
      </fill>
    </dxf>
    <dxf>
      <fill>
        <patternFill patternType="solid">
          <fgColor rgb="FFD4ECDD"/>
          <bgColor rgb="FF000000"/>
        </patternFill>
      </fill>
    </dxf>
    <dxf>
      <fill>
        <patternFill patternType="solid">
          <fgColor rgb="FFDDEFE4"/>
          <bgColor rgb="FF000000"/>
        </patternFill>
      </fill>
    </dxf>
    <dxf>
      <fill>
        <patternFill patternType="solid">
          <fgColor rgb="FFE6F3EC"/>
          <bgColor rgb="FF000000"/>
        </patternFill>
      </fill>
    </dxf>
    <dxf>
      <fill>
        <patternFill patternType="solid">
          <fgColor rgb="FFEEF6F3"/>
          <bgColor rgb="FF000000"/>
        </patternFill>
      </fill>
    </dxf>
    <dxf>
      <fill>
        <patternFill patternType="solid">
          <fgColor rgb="FFF7FAFB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97577"/>
          <bgColor rgb="FF000000"/>
        </patternFill>
      </fill>
    </dxf>
    <dxf>
      <fill>
        <patternFill patternType="solid">
          <fgColor rgb="FFF98183"/>
          <bgColor rgb="FF000000"/>
        </patternFill>
      </fill>
    </dxf>
    <dxf>
      <fill>
        <patternFill patternType="solid">
          <fgColor rgb="FFF98D8F"/>
          <bgColor rgb="FF000000"/>
        </patternFill>
      </fill>
    </dxf>
    <dxf>
      <fill>
        <patternFill patternType="solid">
          <fgColor rgb="FFFA999B"/>
          <bgColor rgb="FF000000"/>
        </patternFill>
      </fill>
    </dxf>
    <dxf>
      <fill>
        <patternFill patternType="solid">
          <fgColor rgb="FFFAB0B3"/>
          <bgColor rgb="FF000000"/>
        </patternFill>
      </fill>
    </dxf>
    <dxf>
      <fill>
        <patternFill patternType="solid">
          <fgColor rgb="FFFBBCBE"/>
          <bgColor rgb="FF000000"/>
        </patternFill>
      </fill>
    </dxf>
    <dxf>
      <fill>
        <patternFill patternType="solid">
          <fgColor rgb="FFFBC8CA"/>
          <bgColor rgb="FF000000"/>
        </patternFill>
      </fill>
    </dxf>
    <dxf>
      <fill>
        <patternFill patternType="solid">
          <fgColor rgb="FFFBD3D6"/>
          <bgColor rgb="FF000000"/>
        </patternFill>
      </fill>
    </dxf>
    <dxf>
      <fill>
        <patternFill patternType="solid">
          <fgColor rgb="FFFCDFE2"/>
          <bgColor rgb="FF000000"/>
        </patternFill>
      </fill>
    </dxf>
    <dxf>
      <fill>
        <patternFill patternType="solid">
          <fgColor rgb="FFFCEBEE"/>
          <bgColor rgb="FF000000"/>
        </patternFill>
      </fill>
    </dxf>
    <dxf>
      <fill>
        <patternFill patternType="solid">
          <fgColor rgb="FFFCF7FA"/>
          <bgColor rgb="FF000000"/>
        </patternFill>
      </fill>
    </dxf>
    <dxf>
      <fill>
        <patternFill patternType="solid">
          <fgColor rgb="FF6DC284"/>
          <bgColor rgb="FF000000"/>
        </patternFill>
      </fill>
    </dxf>
    <dxf>
      <fill>
        <patternFill patternType="solid">
          <fgColor rgb="FF73C589"/>
          <bgColor rgb="FF000000"/>
        </patternFill>
      </fill>
    </dxf>
    <dxf>
      <fill>
        <patternFill patternType="solid">
          <fgColor rgb="FF78C78D"/>
          <bgColor rgb="FF000000"/>
        </patternFill>
      </fill>
    </dxf>
    <dxf>
      <fill>
        <patternFill patternType="solid">
          <fgColor rgb="FF7AC88F"/>
          <bgColor rgb="FF000000"/>
        </patternFill>
      </fill>
    </dxf>
    <dxf>
      <fill>
        <patternFill patternType="solid">
          <fgColor rgb="FF7CC891"/>
          <bgColor rgb="FF000000"/>
        </patternFill>
      </fill>
    </dxf>
    <dxf>
      <fill>
        <patternFill patternType="solid">
          <fgColor rgb="FF87CD9A"/>
          <bgColor rgb="FF000000"/>
        </patternFill>
      </fill>
    </dxf>
    <dxf>
      <fill>
        <patternFill patternType="solid">
          <fgColor rgb="FF8BCF9E"/>
          <bgColor rgb="FF000000"/>
        </patternFill>
      </fill>
    </dxf>
    <dxf>
      <fill>
        <patternFill patternType="solid">
          <fgColor rgb="FF8DCF9F"/>
          <bgColor rgb="FF000000"/>
        </patternFill>
      </fill>
    </dxf>
    <dxf>
      <fill>
        <patternFill patternType="solid">
          <fgColor rgb="FF91D1A3"/>
          <bgColor rgb="FF000000"/>
        </patternFill>
      </fill>
    </dxf>
    <dxf>
      <fill>
        <patternFill patternType="solid">
          <fgColor rgb="FF96D3A7"/>
          <bgColor rgb="FF000000"/>
        </patternFill>
      </fill>
    </dxf>
    <dxf>
      <fill>
        <patternFill patternType="solid">
          <fgColor rgb="FFA2D8B1"/>
          <bgColor rgb="FF000000"/>
        </patternFill>
      </fill>
    </dxf>
    <dxf>
      <fill>
        <patternFill patternType="solid">
          <fgColor rgb="FFA4D9B3"/>
          <bgColor rgb="FF000000"/>
        </patternFill>
      </fill>
    </dxf>
    <dxf>
      <fill>
        <patternFill patternType="solid">
          <fgColor rgb="FFA7DAB6"/>
          <bgColor rgb="FF000000"/>
        </patternFill>
      </fill>
    </dxf>
    <dxf>
      <fill>
        <patternFill patternType="solid">
          <fgColor rgb="FFB1DEBE"/>
          <bgColor rgb="FF000000"/>
        </patternFill>
      </fill>
    </dxf>
    <dxf>
      <fill>
        <patternFill patternType="solid">
          <fgColor rgb="FFBAE2C6"/>
          <bgColor rgb="FF000000"/>
        </patternFill>
      </fill>
    </dxf>
    <dxf>
      <fill>
        <patternFill patternType="solid">
          <fgColor rgb="FFBEE3CA"/>
          <bgColor rgb="FF000000"/>
        </patternFill>
      </fill>
    </dxf>
    <dxf>
      <fill>
        <patternFill patternType="solid">
          <fgColor rgb="FFC6E6D0"/>
          <bgColor rgb="FF000000"/>
        </patternFill>
      </fill>
    </dxf>
    <dxf>
      <fill>
        <patternFill patternType="solid">
          <fgColor rgb="FFCFEAD8"/>
          <bgColor rgb="FF000000"/>
        </patternFill>
      </fill>
    </dxf>
    <dxf>
      <fill>
        <patternFill patternType="solid">
          <fgColor rgb="FFD1EBDA"/>
          <bgColor rgb="FF000000"/>
        </patternFill>
      </fill>
    </dxf>
    <dxf>
      <fill>
        <patternFill patternType="solid">
          <fgColor rgb="FFD7EDDF"/>
          <bgColor rgb="FF000000"/>
        </patternFill>
      </fill>
    </dxf>
    <dxf>
      <fill>
        <patternFill patternType="solid">
          <fgColor rgb="FFDAEFE2"/>
          <bgColor rgb="FF000000"/>
        </patternFill>
      </fill>
    </dxf>
    <dxf>
      <fill>
        <patternFill patternType="solid">
          <fgColor rgb="FFEAF5EF"/>
          <bgColor rgb="FF000000"/>
        </patternFill>
      </fill>
    </dxf>
    <dxf>
      <fill>
        <patternFill patternType="solid">
          <fgColor rgb="FFFCFCFF"/>
          <bgColor rgb="FF000000"/>
        </patternFill>
      </fill>
    </dxf>
    <dxf>
      <fill>
        <patternFill patternType="solid">
          <fgColor rgb="FFC9E8D3"/>
          <bgColor rgb="FF000000"/>
        </patternFill>
      </fill>
    </dxf>
    <dxf>
      <fill>
        <patternFill patternType="solid">
          <fgColor rgb="FFEBF6F1"/>
          <bgColor rgb="FF000000"/>
        </patternFill>
      </fill>
    </dxf>
    <dxf>
      <fill>
        <patternFill patternType="solid">
          <fgColor rgb="FFF99C9F"/>
          <bgColor rgb="FF000000"/>
        </patternFill>
      </fill>
    </dxf>
    <dxf>
      <fill>
        <patternFill patternType="solid">
          <fgColor rgb="FFF9AEB0"/>
          <bgColor rgb="FF000000"/>
        </patternFill>
      </fill>
    </dxf>
    <dxf>
      <fill>
        <patternFill patternType="solid">
          <fgColor rgb="FFFABFC2"/>
          <bgColor rgb="FF000000"/>
        </patternFill>
      </fill>
    </dxf>
    <dxf>
      <fill>
        <patternFill patternType="solid">
          <fgColor rgb="FFFAD0D3"/>
          <bgColor rgb="FF000000"/>
        </patternFill>
      </fill>
    </dxf>
    <dxf>
      <fill>
        <patternFill patternType="solid">
          <fgColor rgb="FFFBE2E4"/>
          <bgColor rgb="FF000000"/>
        </patternFill>
      </fill>
    </dxf>
    <dxf>
      <fill>
        <patternFill patternType="solid">
          <fgColor rgb="FFFBF3F6"/>
          <bgColor rgb="FF000000"/>
        </patternFill>
      </fill>
    </dxf>
    <dxf>
      <fill>
        <patternFill patternType="solid">
          <fgColor rgb="FF64BE7C"/>
          <bgColor rgb="FF000000"/>
        </patternFill>
      </fill>
    </dxf>
    <dxf>
      <fill>
        <patternFill patternType="solid">
          <fgColor rgb="FF6EC284"/>
          <bgColor rgb="FF000000"/>
        </patternFill>
      </fill>
    </dxf>
    <dxf>
      <fill>
        <patternFill patternType="solid">
          <fgColor rgb="FF84CB97"/>
          <bgColor rgb="FF000000"/>
        </patternFill>
      </fill>
    </dxf>
    <dxf>
      <fill>
        <patternFill patternType="solid">
          <fgColor rgb="FF8CCE9E"/>
          <bgColor rgb="FF000000"/>
        </patternFill>
      </fill>
    </dxf>
    <dxf>
      <fill>
        <patternFill patternType="solid">
          <fgColor rgb="FF92D1A3"/>
          <bgColor rgb="FF000000"/>
        </patternFill>
      </fill>
    </dxf>
    <dxf>
      <fill>
        <patternFill patternType="solid">
          <fgColor rgb="FFA0D7B0"/>
          <bgColor rgb="FF000000"/>
        </patternFill>
      </fill>
    </dxf>
    <dxf>
      <fill>
        <patternFill patternType="solid">
          <fgColor rgb="FFA3D7B2"/>
          <bgColor rgb="FF000000"/>
        </patternFill>
      </fill>
    </dxf>
    <dxf>
      <fill>
        <patternFill patternType="solid">
          <fgColor rgb="FFACDBBA"/>
          <bgColor rgb="FF000000"/>
        </patternFill>
      </fill>
    </dxf>
    <dxf>
      <fill>
        <patternFill patternType="solid">
          <fgColor rgb="FFB3DEC0"/>
          <bgColor rgb="FF000000"/>
        </patternFill>
      </fill>
    </dxf>
    <dxf>
      <fill>
        <patternFill patternType="solid">
          <fgColor rgb="FFB5DFC1"/>
          <bgColor rgb="FF000000"/>
        </patternFill>
      </fill>
    </dxf>
    <dxf>
      <fill>
        <patternFill patternType="solid">
          <fgColor rgb="FFD6ECDE"/>
          <bgColor rgb="FF000000"/>
        </patternFill>
      </fill>
    </dxf>
    <dxf>
      <fill>
        <patternFill patternType="solid">
          <fgColor rgb="FFE2F1E8"/>
          <bgColor rgb="FF000000"/>
        </patternFill>
      </fill>
    </dxf>
    <dxf>
      <fill>
        <patternFill patternType="solid">
          <fgColor rgb="FFE5F2EB"/>
          <bgColor rgb="FF000000"/>
        </patternFill>
      </fill>
    </dxf>
    <dxf>
      <fill>
        <patternFill patternType="solid">
          <fgColor rgb="FFF2F8F7"/>
          <bgColor rgb="FF000000"/>
        </patternFill>
      </fill>
    </dxf>
    <dxf>
      <fill>
        <patternFill patternType="solid">
          <fgColor rgb="FFF3F8F7"/>
          <bgColor rgb="FF000000"/>
        </patternFill>
      </fill>
    </dxf>
    <dxf>
      <fill>
        <patternFill patternType="solid">
          <fgColor rgb="FFF9FAFC"/>
          <bgColor rgb="FF000000"/>
        </patternFill>
      </fill>
    </dxf>
    <dxf>
      <fill>
        <patternFill patternType="solid">
          <fgColor rgb="FFFAFBFD"/>
          <bgColor rgb="FF000000"/>
        </patternFill>
      </fill>
    </dxf>
    <dxf>
      <fill>
        <patternFill patternType="solid">
          <fgColor rgb="FFFBC5C8"/>
          <bgColor rgb="FF000000"/>
        </patternFill>
      </fill>
    </dxf>
    <dxf>
      <fill>
        <patternFill patternType="solid">
          <fgColor rgb="FFFCD9DC"/>
          <bgColor rgb="FF000000"/>
        </patternFill>
      </fill>
    </dxf>
    <dxf>
      <fill>
        <patternFill patternType="solid">
          <fgColor rgb="FFFCEFF2"/>
          <bgColor rgb="FF000000"/>
        </patternFill>
      </fill>
    </dxf>
    <dxf>
      <fill>
        <patternFill patternType="solid">
          <fgColor rgb="FFFCF0F3"/>
          <bgColor rgb="FF000000"/>
        </patternFill>
      </fill>
    </dxf>
    <dxf>
      <fill>
        <patternFill patternType="solid">
          <fgColor rgb="FFFCF4F7"/>
          <bgColor rgb="FF000000"/>
        </patternFill>
      </fill>
    </dxf>
    <dxf>
      <fill>
        <patternFill patternType="solid">
          <fgColor rgb="FFFCF9FC"/>
          <bgColor rgb="FF000000"/>
        </patternFill>
      </fill>
    </dxf>
    <dxf>
      <fill>
        <patternFill patternType="solid">
          <fgColor rgb="FFFCFAFD"/>
          <bgColor rgb="FF000000"/>
        </patternFill>
      </fill>
    </dxf>
    <dxf>
      <fill>
        <patternFill patternType="solid">
          <fgColor rgb="FFC1E4CC"/>
          <bgColor rgb="FF000000"/>
        </patternFill>
      </fill>
    </dxf>
    <dxf>
      <fill>
        <patternFill patternType="solid">
          <fgColor rgb="FFC2E5CD"/>
          <bgColor rgb="FF000000"/>
        </patternFill>
      </fill>
    </dxf>
    <dxf>
      <fill>
        <patternFill patternType="solid">
          <fgColor rgb="FFE0F1E7"/>
          <bgColor rgb="FF000000"/>
        </patternFill>
      </fill>
    </dxf>
    <dxf>
      <fill>
        <patternFill patternType="solid">
          <fgColor rgb="FFE7F4ED"/>
          <bgColor rgb="FF000000"/>
        </patternFill>
      </fill>
    </dxf>
    <dxf>
      <fill>
        <patternFill patternType="solid">
          <fgColor rgb="FFECF6F1"/>
          <bgColor rgb="FF000000"/>
        </patternFill>
      </fill>
    </dxf>
    <dxf>
      <fill>
        <patternFill patternType="solid">
          <fgColor rgb="FFF1F8F6"/>
          <bgColor rgb="FF000000"/>
        </patternFill>
      </fill>
    </dxf>
    <dxf>
      <fill>
        <patternFill patternType="solid">
          <fgColor rgb="FFF2F8F6"/>
          <bgColor rgb="FF000000"/>
        </patternFill>
      </fill>
    </dxf>
    <dxf>
      <fill>
        <patternFill patternType="solid">
          <fgColor rgb="FFF4F9F8"/>
          <bgColor rgb="FF000000"/>
        </patternFill>
      </fill>
    </dxf>
    <dxf>
      <fill>
        <patternFill patternType="solid">
          <fgColor rgb="FFF5FAF9"/>
          <bgColor rgb="FF000000"/>
        </patternFill>
      </fill>
    </dxf>
    <dxf>
      <fill>
        <patternFill patternType="solid">
          <fgColor rgb="FFF6FAFA"/>
          <bgColor rgb="FF000000"/>
        </patternFill>
      </fill>
    </dxf>
    <dxf>
      <fill>
        <patternFill patternType="solid">
          <fgColor rgb="FFF7FAFA"/>
          <bgColor rgb="FF000000"/>
        </patternFill>
      </fill>
    </dxf>
    <dxf>
      <fill>
        <patternFill patternType="solid">
          <fgColor rgb="FFF8FBFB"/>
          <bgColor rgb="FF000000"/>
        </patternFill>
      </fill>
    </dxf>
    <dxf>
      <fill>
        <patternFill patternType="solid">
          <fgColor rgb="FFF8FBFC"/>
          <bgColor rgb="FF000000"/>
        </patternFill>
      </fill>
    </dxf>
    <dxf>
      <fill>
        <patternFill patternType="solid">
          <fgColor rgb="FFF9FBFD"/>
          <bgColor rgb="FF000000"/>
        </patternFill>
      </fill>
    </dxf>
    <dxf>
      <fill>
        <patternFill patternType="solid">
          <fgColor rgb="FFFAFCFD"/>
          <bgColor rgb="FF000000"/>
        </patternFill>
      </fill>
    </dxf>
    <dxf>
      <fill>
        <patternFill patternType="solid">
          <fgColor rgb="FFFBFCFE"/>
          <bgColor rgb="FF000000"/>
        </patternFill>
      </fill>
    </dxf>
    <dxf>
      <fill>
        <patternFill patternType="solid">
          <fgColor rgb="FFF97072"/>
          <bgColor rgb="FF000000"/>
        </patternFill>
      </fill>
    </dxf>
    <dxf>
      <fill>
        <patternFill patternType="solid">
          <fgColor rgb="FFF97A7C"/>
          <bgColor rgb="FF000000"/>
        </patternFill>
      </fill>
    </dxf>
    <dxf>
      <fill>
        <patternFill patternType="solid">
          <fgColor rgb="FFF98587"/>
          <bgColor rgb="FF000000"/>
        </patternFill>
      </fill>
    </dxf>
    <dxf>
      <fill>
        <patternFill patternType="solid">
          <fgColor rgb="FFF98789"/>
          <bgColor rgb="FF000000"/>
        </patternFill>
      </fill>
    </dxf>
    <dxf>
      <fill>
        <patternFill patternType="solid">
          <fgColor rgb="FFFA9496"/>
          <bgColor rgb="FF000000"/>
        </patternFill>
      </fill>
    </dxf>
    <dxf>
      <fill>
        <patternFill patternType="solid">
          <fgColor rgb="FFFA9598"/>
          <bgColor rgb="FF000000"/>
        </patternFill>
      </fill>
    </dxf>
    <dxf>
      <fill>
        <patternFill patternType="solid">
          <fgColor rgb="FFFA9EA0"/>
          <bgColor rgb="FF000000"/>
        </patternFill>
      </fill>
    </dxf>
    <dxf>
      <fill>
        <patternFill patternType="solid">
          <fgColor rgb="FFFAA3A5"/>
          <bgColor rgb="FF000000"/>
        </patternFill>
      </fill>
    </dxf>
    <dxf>
      <fill>
        <patternFill patternType="solid">
          <fgColor rgb="FFFAAAAD"/>
          <bgColor rgb="FF000000"/>
        </patternFill>
      </fill>
    </dxf>
    <dxf>
      <fill>
        <patternFill patternType="solid">
          <fgColor rgb="FFFAAEB0"/>
          <bgColor rgb="FF000000"/>
        </patternFill>
      </fill>
    </dxf>
    <dxf>
      <fill>
        <patternFill patternType="solid">
          <fgColor rgb="FFFAAFB1"/>
          <bgColor rgb="FF000000"/>
        </patternFill>
      </fill>
    </dxf>
    <dxf>
      <fill>
        <patternFill patternType="solid">
          <fgColor rgb="FFFBB4B6"/>
          <bgColor rgb="FF000000"/>
        </patternFill>
      </fill>
    </dxf>
    <dxf>
      <fill>
        <patternFill patternType="solid">
          <fgColor rgb="FFFBB7BA"/>
          <bgColor rgb="FF000000"/>
        </patternFill>
      </fill>
    </dxf>
    <dxf>
      <fill>
        <patternFill patternType="solid">
          <fgColor rgb="FFFBBEC0"/>
          <bgColor rgb="FF000000"/>
        </patternFill>
      </fill>
    </dxf>
    <dxf>
      <fill>
        <patternFill patternType="solid">
          <fgColor rgb="FFFBC0C3"/>
          <bgColor rgb="FF000000"/>
        </patternFill>
      </fill>
    </dxf>
    <dxf>
      <fill>
        <patternFill patternType="solid">
          <fgColor rgb="FFFBC3C5"/>
          <bgColor rgb="FF000000"/>
        </patternFill>
      </fill>
    </dxf>
    <dxf>
      <fill>
        <patternFill patternType="solid">
          <fgColor rgb="FFFBC9CB"/>
          <bgColor rgb="FF000000"/>
        </patternFill>
      </fill>
    </dxf>
    <dxf>
      <fill>
        <patternFill patternType="solid">
          <fgColor rgb="FFFBCCCF"/>
          <bgColor rgb="FF000000"/>
        </patternFill>
      </fill>
    </dxf>
    <dxf>
      <fill>
        <patternFill patternType="solid">
          <fgColor rgb="FFFBCFD1"/>
          <bgColor rgb="FF000000"/>
        </patternFill>
      </fill>
    </dxf>
    <dxf>
      <fill>
        <patternFill patternType="solid">
          <fgColor rgb="FFFBD1D4"/>
          <bgColor rgb="FF000000"/>
        </patternFill>
      </fill>
    </dxf>
    <dxf>
      <fill>
        <patternFill patternType="solid">
          <fgColor rgb="FFFCDEE1"/>
          <bgColor rgb="FF000000"/>
        </patternFill>
      </fill>
    </dxf>
    <dxf>
      <fill>
        <patternFill patternType="solid">
          <fgColor rgb="FFFCE2E5"/>
          <bgColor rgb="FF000000"/>
        </patternFill>
      </fill>
    </dxf>
    <dxf>
      <fill>
        <patternFill patternType="solid">
          <fgColor rgb="FFFCE4E6"/>
          <bgColor rgb="FF000000"/>
        </patternFill>
      </fill>
    </dxf>
    <dxf>
      <fill>
        <patternFill patternType="solid">
          <fgColor rgb="FFFCE5E8"/>
          <bgColor rgb="FF000000"/>
        </patternFill>
      </fill>
    </dxf>
    <dxf>
      <fill>
        <patternFill patternType="solid">
          <fgColor rgb="FFFCECEF"/>
          <bgColor rgb="FF000000"/>
        </patternFill>
      </fill>
    </dxf>
    <dxf>
      <fill>
        <patternFill patternType="solid">
          <fgColor rgb="FFFCF1F4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DCEAF7"/>
          <bgColor rgb="FF000000"/>
        </patternFill>
      </fill>
    </dxf>
    <dxf>
      <fill>
        <patternFill patternType="solid">
          <fgColor rgb="FFFBE3D6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343D46"/>
          <bgColor rgb="FF000000"/>
        </patternFill>
      </fill>
    </dxf>
    <dxf>
      <fill>
        <patternFill patternType="solid">
          <fgColor rgb="FFD8D8D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BE3D6"/>
      <rgbColor rgb="FFDCEAF7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43D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9"/>
  <sheetViews>
    <sheetView showFormulas="false" showGridLines="false" showRowColHeaders="true" showZeros="true" rightToLeft="false" tabSelected="true" showOutlineSymbols="true" defaultGridColor="true" view="normal" topLeftCell="A1" colorId="64" zoomScale="47" zoomScaleNormal="47" zoomScalePageLayoutView="100" workbookViewId="0">
      <selection pane="topLeft" activeCell="AN10" activeCellId="0" sqref="AN10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32.18"/>
    <col collapsed="false" customWidth="true" hidden="false" outlineLevel="0" max="2" min="2" style="1" width="10.09"/>
    <col collapsed="false" customWidth="true" hidden="false" outlineLevel="0" max="3" min="3" style="0" width="15.91"/>
    <col collapsed="false" customWidth="true" hidden="false" outlineLevel="0" max="6" min="4" style="0" width="16.09"/>
    <col collapsed="false" customWidth="true" hidden="false" outlineLevel="0" max="7" min="7" style="0" width="19.36"/>
    <col collapsed="false" customWidth="true" hidden="false" outlineLevel="0" max="10" min="8" style="0" width="19.91"/>
    <col collapsed="false" customWidth="true" hidden="false" outlineLevel="0" max="11" min="11" style="0" width="61.18"/>
    <col collapsed="false" customWidth="true" hidden="false" outlineLevel="0" max="12" min="12" style="0" width="15.36"/>
    <col collapsed="false" customWidth="true" hidden="false" outlineLevel="0" max="13" min="13" style="0" width="16.73"/>
    <col collapsed="false" customWidth="true" hidden="false" outlineLevel="0" max="14" min="14" style="0" width="42.45"/>
    <col collapsed="false" customWidth="true" hidden="false" outlineLevel="0" max="15" min="15" style="0" width="102.18"/>
    <col collapsed="false" customWidth="true" hidden="true" outlineLevel="0" max="34" min="16" style="0" width="11.81"/>
  </cols>
  <sheetData>
    <row r="1" s="9" customFormat="true" ht="46.5" hidden="false" customHeight="tru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/>
      <c r="R1" s="6"/>
      <c r="S1" s="6"/>
      <c r="T1" s="6"/>
      <c r="U1" s="6"/>
      <c r="V1" s="6"/>
      <c r="W1" s="6"/>
      <c r="X1" s="7"/>
      <c r="Y1" s="8" t="s">
        <v>16</v>
      </c>
      <c r="Z1" s="8"/>
      <c r="AA1" s="8"/>
      <c r="AB1" s="8"/>
      <c r="AC1" s="8"/>
      <c r="AD1" s="8"/>
      <c r="AE1" s="8"/>
      <c r="AF1" s="8"/>
      <c r="AG1" s="8"/>
      <c r="AH1" s="8"/>
    </row>
    <row r="2" s="14" customFormat="true" ht="33" hidden="false" customHeight="true" outlineLevel="0" collapsed="false">
      <c r="A2" s="10" t="s">
        <v>17</v>
      </c>
      <c r="B2" s="3"/>
      <c r="C2" s="11" t="n">
        <v>1</v>
      </c>
      <c r="D2" s="11" t="n">
        <v>5</v>
      </c>
      <c r="E2" s="11" t="n">
        <v>4</v>
      </c>
      <c r="F2" s="11" t="n">
        <v>5</v>
      </c>
      <c r="G2" s="11" t="n">
        <v>3</v>
      </c>
      <c r="H2" s="11" t="n">
        <v>2</v>
      </c>
      <c r="I2" s="11"/>
      <c r="J2" s="11" t="n">
        <v>4</v>
      </c>
      <c r="K2" s="12"/>
      <c r="L2" s="11" t="n">
        <v>1.5</v>
      </c>
      <c r="M2" s="11" t="n">
        <v>1</v>
      </c>
      <c r="N2" s="3"/>
      <c r="O2" s="13"/>
      <c r="P2" s="6" t="s">
        <v>18</v>
      </c>
      <c r="Q2" s="6" t="s">
        <v>19</v>
      </c>
      <c r="R2" s="6" t="s">
        <v>20</v>
      </c>
      <c r="S2" s="6" t="s">
        <v>21</v>
      </c>
      <c r="T2" s="6" t="s">
        <v>22</v>
      </c>
      <c r="U2" s="6" t="s">
        <v>23</v>
      </c>
      <c r="V2" s="6" t="s">
        <v>24</v>
      </c>
      <c r="W2" s="6" t="s">
        <v>25</v>
      </c>
      <c r="X2" s="6" t="s">
        <v>26</v>
      </c>
      <c r="Y2" s="8" t="s">
        <v>18</v>
      </c>
      <c r="Z2" s="8" t="s">
        <v>19</v>
      </c>
      <c r="AA2" s="8" t="s">
        <v>20</v>
      </c>
      <c r="AB2" s="8" t="s">
        <v>21</v>
      </c>
      <c r="AC2" s="8" t="s">
        <v>22</v>
      </c>
      <c r="AD2" s="8" t="s">
        <v>23</v>
      </c>
      <c r="AE2" s="8" t="s">
        <v>24</v>
      </c>
      <c r="AF2" s="8" t="s">
        <v>25</v>
      </c>
      <c r="AG2" s="8" t="s">
        <v>26</v>
      </c>
      <c r="AH2" s="8" t="s">
        <v>27</v>
      </c>
    </row>
    <row r="3" s="14" customFormat="true" ht="21" hidden="false" customHeight="true" outlineLevel="0" collapsed="false">
      <c r="A3" s="15" t="s">
        <v>28</v>
      </c>
      <c r="B3" s="16"/>
      <c r="C3" s="17" t="b">
        <f aca="false">FALSE()</f>
        <v>0</v>
      </c>
      <c r="D3" s="17" t="b">
        <f aca="false">TRUE()</f>
        <v>1</v>
      </c>
      <c r="E3" s="17" t="b">
        <f aca="false">TRUE()</f>
        <v>1</v>
      </c>
      <c r="F3" s="17" t="b">
        <f aca="false">TRUE()</f>
        <v>1</v>
      </c>
      <c r="G3" s="17" t="b">
        <f aca="false">TRUE()</f>
        <v>1</v>
      </c>
      <c r="H3" s="17" t="b">
        <f aca="false">TRUE()</f>
        <v>1</v>
      </c>
      <c r="I3" s="18"/>
      <c r="J3" s="17" t="b">
        <f aca="false">TRUE()</f>
        <v>1</v>
      </c>
      <c r="K3" s="19"/>
      <c r="L3" s="17" t="b">
        <f aca="false">FALSE()</f>
        <v>0</v>
      </c>
      <c r="M3" s="17" t="b">
        <f aca="false">FALSE()</f>
        <v>0</v>
      </c>
      <c r="N3" s="20"/>
      <c r="O3" s="21"/>
      <c r="P3" s="22"/>
      <c r="Q3" s="22"/>
      <c r="R3" s="22"/>
      <c r="S3" s="22"/>
      <c r="T3" s="22"/>
      <c r="U3" s="22"/>
      <c r="V3" s="22"/>
      <c r="W3" s="22"/>
      <c r="X3" s="23"/>
      <c r="Y3" s="24"/>
      <c r="Z3" s="24"/>
      <c r="AA3" s="24"/>
      <c r="AB3" s="24"/>
      <c r="AC3" s="24"/>
      <c r="AD3" s="24"/>
      <c r="AE3" s="24"/>
      <c r="AF3" s="24"/>
      <c r="AG3" s="24"/>
      <c r="AH3" s="25"/>
    </row>
    <row r="4" customFormat="false" ht="17.25" hidden="false" customHeight="true" outlineLevel="0" collapsed="false">
      <c r="A4" s="26" t="s">
        <v>29</v>
      </c>
      <c r="B4" s="27" t="n">
        <f aca="false">RANK(AH4,$AH$4:$AH$39)</f>
        <v>1</v>
      </c>
      <c r="C4" s="26" t="n">
        <v>32</v>
      </c>
      <c r="D4" s="26" t="n">
        <v>95</v>
      </c>
      <c r="E4" s="26" t="n">
        <v>29</v>
      </c>
      <c r="F4" s="28" t="n">
        <f aca="false">M4/C4</f>
        <v>11.71875</v>
      </c>
      <c r="G4" s="29" t="n">
        <v>3200</v>
      </c>
      <c r="H4" s="26" t="n">
        <v>63</v>
      </c>
      <c r="I4" s="30" t="b">
        <f aca="false">FALSE()</f>
        <v>0</v>
      </c>
      <c r="J4" s="26" t="s">
        <v>30</v>
      </c>
      <c r="K4" s="31"/>
      <c r="L4" s="26" t="n">
        <v>3</v>
      </c>
      <c r="M4" s="26" t="n">
        <v>375</v>
      </c>
      <c r="N4" s="26" t="s">
        <v>31</v>
      </c>
      <c r="O4" s="32" t="s">
        <v>32</v>
      </c>
      <c r="P4" s="33" t="n">
        <f aca="false">IF(C$3=TRUE(),RANK(C4,C$4:C$39,0),0)</f>
        <v>0</v>
      </c>
      <c r="Q4" s="34" t="n">
        <f aca="false">IF(D$3=TRUE(),RANK(D4,D$4:D$39,0),0)</f>
        <v>2</v>
      </c>
      <c r="R4" s="34" t="n">
        <f aca="false">IF(E$3=TRUE(),RANK(E4,E$4:E$39,0),0)</f>
        <v>14</v>
      </c>
      <c r="S4" s="34" t="n">
        <f aca="false">IF(L$3=TRUE(),RANK(L4,L$4:L$39,0),0)</f>
        <v>0</v>
      </c>
      <c r="T4" s="34" t="n">
        <f aca="false">IF(M$3=TRUE(),RANK(M4,M$4:M$39,0),0)</f>
        <v>0</v>
      </c>
      <c r="U4" s="34" t="n">
        <f aca="false">IF($F$3=TRUE(),RANK(F4,F$4:F$39,1),0)</f>
        <v>13</v>
      </c>
      <c r="V4" s="34" t="n">
        <f aca="false">IF($G$3=TRUE(),RANK(G4,G$4:G$39,0),0)</f>
        <v>24</v>
      </c>
      <c r="W4" s="34" t="n">
        <f aca="false">IF($H$3=TRUE(),RANK(H4,H$4:H$39,1),0)</f>
        <v>13</v>
      </c>
      <c r="X4" s="34" t="n">
        <v>1</v>
      </c>
      <c r="Y4" s="34" t="n">
        <f aca="false">IF(C$3=TRUE(),C$2*(COUNTA($A$4:$A$39)-P4+1),0)</f>
        <v>0</v>
      </c>
      <c r="Z4" s="34" t="n">
        <f aca="false">IF(D$3=TRUE(),D$2*(COUNTA($A$4:$A$39)-Q4+1),0)</f>
        <v>175</v>
      </c>
      <c r="AA4" s="34" t="n">
        <f aca="false">IF(E$3=TRUE(),E$2*(COUNTA($A$4:$A$39)-R4+1),0)</f>
        <v>92</v>
      </c>
      <c r="AB4" s="34" t="n">
        <f aca="false">IF(L$3=TRUE(),L$2*(COUNTA($A$4:$A$39)-S4+1),0)</f>
        <v>0</v>
      </c>
      <c r="AC4" s="34" t="n">
        <f aca="false">IF(M$3=TRUE(),M$2*(COUNTA($A$4:$A$39)-T4+1),0)</f>
        <v>0</v>
      </c>
      <c r="AD4" s="34" t="n">
        <f aca="false">IF(F$3=TRUE(),F$2*(COUNTA($A$4:$A$39)-U4+1),0)</f>
        <v>120</v>
      </c>
      <c r="AE4" s="34" t="n">
        <f aca="false">IF(G$3=TRUE(),G$2*(COUNTA($A$4:$A$39)-V4+1),0)</f>
        <v>39</v>
      </c>
      <c r="AF4" s="34" t="n">
        <f aca="false">IF(H$3=TRUE(),H$2*(COUNTA($A$4:$A$39)-W4+1),0)</f>
        <v>48</v>
      </c>
      <c r="AG4" s="34" t="n">
        <f aca="false">IF(J$3=TRUE(),J$2*(COUNTA($A$4:$A$39)-X4+1),0)</f>
        <v>144</v>
      </c>
      <c r="AH4" s="34" t="n">
        <f aca="false">IF(I4=TRUE(),0,SUM(Y4:AG4))</f>
        <v>618</v>
      </c>
    </row>
    <row r="5" customFormat="false" ht="17.25" hidden="false" customHeight="true" outlineLevel="0" collapsed="false">
      <c r="A5" s="35" t="s">
        <v>33</v>
      </c>
      <c r="B5" s="36" t="n">
        <f aca="false">RANK(AH5,$AH$4:$AH$39)</f>
        <v>2</v>
      </c>
      <c r="C5" s="35" t="n">
        <v>10.7</v>
      </c>
      <c r="D5" s="35" t="n">
        <v>95</v>
      </c>
      <c r="E5" s="35" t="n">
        <v>30</v>
      </c>
      <c r="F5" s="37" t="n">
        <f aca="false">M5/C5</f>
        <v>14.018691588785</v>
      </c>
      <c r="G5" s="38" t="n">
        <v>3200</v>
      </c>
      <c r="H5" s="35" t="n">
        <v>63</v>
      </c>
      <c r="I5" s="39" t="b">
        <f aca="false">FALSE()</f>
        <v>0</v>
      </c>
      <c r="J5" s="26" t="s">
        <v>30</v>
      </c>
      <c r="K5" s="40"/>
      <c r="L5" s="35" t="n">
        <v>2.75</v>
      </c>
      <c r="M5" s="35" t="n">
        <v>150</v>
      </c>
      <c r="N5" s="35" t="s">
        <v>34</v>
      </c>
      <c r="O5" s="41" t="s">
        <v>35</v>
      </c>
      <c r="P5" s="42" t="n">
        <f aca="false">IF(C$3=TRUE(),RANK(C5,C$4:C$39,0),0)</f>
        <v>0</v>
      </c>
      <c r="Q5" s="43" t="n">
        <f aca="false">IF(D$3=TRUE(),RANK(D5,D$4:D$39,0),0)</f>
        <v>2</v>
      </c>
      <c r="R5" s="43" t="n">
        <f aca="false">IF(E$3=TRUE(),RANK(E5,E$4:E$39,0),0)</f>
        <v>7</v>
      </c>
      <c r="S5" s="43" t="n">
        <f aca="false">IF(L$3=TRUE(),RANK(L5,L$4:L$39,0),0)</f>
        <v>0</v>
      </c>
      <c r="T5" s="43" t="n">
        <f aca="false">IF(M$3=TRUE(),RANK(M5,M$4:M$39,0),0)</f>
        <v>0</v>
      </c>
      <c r="U5" s="43" t="n">
        <f aca="false">IF($F$3=TRUE(),RANK(F5,F$4:F$39,1),0)</f>
        <v>20</v>
      </c>
      <c r="V5" s="43" t="n">
        <f aca="false">IF($G$3=TRUE(),RANK(G5,G$4:G$39,0),0)</f>
        <v>24</v>
      </c>
      <c r="W5" s="43" t="n">
        <f aca="false">IF($H$3=TRUE(),RANK(H5,H$4:H$39,1),0)</f>
        <v>13</v>
      </c>
      <c r="X5" s="0" t="n">
        <v>1</v>
      </c>
      <c r="Y5" s="43" t="n">
        <f aca="false">IF(C$3=TRUE(),C$2*(COUNTA($A$4:$A$39)-P5+1),0)</f>
        <v>0</v>
      </c>
      <c r="Z5" s="43" t="n">
        <f aca="false">IF(D$3=TRUE(),D$2*(COUNTA($A$4:$A$39)-Q5+1),0)</f>
        <v>175</v>
      </c>
      <c r="AA5" s="43" t="n">
        <f aca="false">IF(E$3=TRUE(),E$2*(COUNTA($A$4:$A$39)-R5+1),0)</f>
        <v>120</v>
      </c>
      <c r="AB5" s="43" t="n">
        <f aca="false">IF(L$3=TRUE(),L$2*(COUNTA($A$4:$A$39)-S5+1),0)</f>
        <v>0</v>
      </c>
      <c r="AC5" s="43" t="n">
        <f aca="false">IF(M$3=TRUE(),M$2*(COUNTA($A$4:$A$39)-T5+1),0)</f>
        <v>0</v>
      </c>
      <c r="AD5" s="43" t="n">
        <f aca="false">IF(F$3=TRUE(),F$2*(COUNTA($A$4:$A$39)-U5+1),0)</f>
        <v>85</v>
      </c>
      <c r="AE5" s="43" t="n">
        <f aca="false">IF(G$3=TRUE(),G$2*(COUNTA($A$4:$A$39)-V5+1),0)</f>
        <v>39</v>
      </c>
      <c r="AF5" s="43" t="n">
        <f aca="false">IF(H$3=TRUE(),H$2*(COUNTA($A$4:$A$39)-W5+1),0)</f>
        <v>48</v>
      </c>
      <c r="AG5" s="43" t="n">
        <f aca="false">IF(J$3=TRUE(),J$2*(COUNTA($A$4:$A$39)-X5+1),0)</f>
        <v>144</v>
      </c>
      <c r="AH5" s="43" t="n">
        <f aca="false">IF(I5=TRUE(),0,SUM(Y5:AG5))</f>
        <v>611</v>
      </c>
    </row>
    <row r="6" customFormat="false" ht="17.25" hidden="false" customHeight="true" outlineLevel="0" collapsed="false">
      <c r="A6" s="35" t="s">
        <v>36</v>
      </c>
      <c r="B6" s="36" t="n">
        <f aca="false">RANK(AH6,$AH$4:$AH$39)</f>
        <v>3</v>
      </c>
      <c r="C6" s="35" t="n">
        <v>7.4</v>
      </c>
      <c r="D6" s="35" t="n">
        <v>95</v>
      </c>
      <c r="E6" s="35" t="n">
        <v>32</v>
      </c>
      <c r="F6" s="37" t="n">
        <f aca="false">M6/C6</f>
        <v>15.5405405405405</v>
      </c>
      <c r="G6" s="38" t="n">
        <v>3200</v>
      </c>
      <c r="H6" s="35" t="n">
        <v>63</v>
      </c>
      <c r="I6" s="39" t="b">
        <f aca="false">FALSE()</f>
        <v>0</v>
      </c>
      <c r="J6" s="26" t="s">
        <v>30</v>
      </c>
      <c r="K6" s="31"/>
      <c r="L6" s="35" t="n">
        <v>2.75</v>
      </c>
      <c r="M6" s="35" t="n">
        <v>115</v>
      </c>
      <c r="N6" s="35" t="s">
        <v>34</v>
      </c>
      <c r="O6" s="41" t="s">
        <v>37</v>
      </c>
      <c r="P6" s="42" t="n">
        <f aca="false">IF(C$3=TRUE(),RANK(C6,C$4:C$39,0),0)</f>
        <v>0</v>
      </c>
      <c r="Q6" s="43" t="n">
        <f aca="false">IF(D$3=TRUE(),RANK(D6,D$4:D$39,0),0)</f>
        <v>2</v>
      </c>
      <c r="R6" s="43" t="n">
        <f aca="false">IF(E$3=TRUE(),RANK(E6,E$4:E$39,0),0)</f>
        <v>2</v>
      </c>
      <c r="S6" s="43" t="n">
        <f aca="false">IF(L$3=TRUE(),RANK(L6,L$4:L$39,0),0)</f>
        <v>0</v>
      </c>
      <c r="T6" s="43" t="n">
        <f aca="false">IF(M$3=TRUE(),RANK(M6,M$4:M$39,0),0)</f>
        <v>0</v>
      </c>
      <c r="U6" s="43" t="n">
        <f aca="false">IF($F$3=TRUE(),RANK(F6,F$4:F$39,1),0)</f>
        <v>26</v>
      </c>
      <c r="V6" s="43" t="n">
        <f aca="false">IF($G$3=TRUE(),RANK(G6,G$4:G$39,0),0)</f>
        <v>24</v>
      </c>
      <c r="W6" s="43" t="n">
        <f aca="false">IF($H$3=TRUE(),RANK(H6,H$4:H$39,1),0)</f>
        <v>13</v>
      </c>
      <c r="X6" s="0" t="n">
        <v>1</v>
      </c>
      <c r="Y6" s="43" t="n">
        <f aca="false">IF(C$3=TRUE(),C$2*(COUNTA($A$4:$A$39)-P6+1),0)</f>
        <v>0</v>
      </c>
      <c r="Z6" s="43" t="n">
        <f aca="false">IF(D$3=TRUE(),D$2*(COUNTA($A$4:$A$39)-Q6+1),0)</f>
        <v>175</v>
      </c>
      <c r="AA6" s="43" t="n">
        <f aca="false">IF(E$3=TRUE(),E$2*(COUNTA($A$4:$A$39)-R6+1),0)</f>
        <v>140</v>
      </c>
      <c r="AB6" s="43" t="n">
        <f aca="false">IF(L$3=TRUE(),L$2*(COUNTA($A$4:$A$39)-S6+1),0)</f>
        <v>0</v>
      </c>
      <c r="AC6" s="43" t="n">
        <f aca="false">IF(M$3=TRUE(),M$2*(COUNTA($A$4:$A$39)-T6+1),0)</f>
        <v>0</v>
      </c>
      <c r="AD6" s="43" t="n">
        <f aca="false">IF(F$3=TRUE(),F$2*(COUNTA($A$4:$A$39)-U6+1),0)</f>
        <v>55</v>
      </c>
      <c r="AE6" s="43" t="n">
        <f aca="false">IF(G$3=TRUE(),G$2*(COUNTA($A$4:$A$39)-V6+1),0)</f>
        <v>39</v>
      </c>
      <c r="AF6" s="43" t="n">
        <f aca="false">IF(H$3=TRUE(),H$2*(COUNTA($A$4:$A$39)-W6+1),0)</f>
        <v>48</v>
      </c>
      <c r="AG6" s="43" t="n">
        <f aca="false">IF(J$3=TRUE(),J$2*(COUNTA($A$4:$A$39)-X6+1),0)</f>
        <v>144</v>
      </c>
      <c r="AH6" s="43" t="n">
        <f aca="false">IF(I6=TRUE(),0,SUM(Y6:AG6))</f>
        <v>601</v>
      </c>
    </row>
    <row r="7" customFormat="false" ht="17.25" hidden="false" customHeight="true" outlineLevel="0" collapsed="false">
      <c r="A7" s="35" t="s">
        <v>38</v>
      </c>
      <c r="B7" s="36" t="n">
        <f aca="false">RANK(AH7,$AH$4:$AH$39)</f>
        <v>4</v>
      </c>
      <c r="C7" s="35" t="n">
        <v>21.6</v>
      </c>
      <c r="D7" s="35" t="n">
        <v>95</v>
      </c>
      <c r="E7" s="35" t="n">
        <v>29</v>
      </c>
      <c r="F7" s="37" t="n">
        <f aca="false">M7/C7</f>
        <v>13.8888888888889</v>
      </c>
      <c r="G7" s="38" t="n">
        <v>3200</v>
      </c>
      <c r="H7" s="35" t="n">
        <v>63</v>
      </c>
      <c r="I7" s="39" t="b">
        <f aca="false">FALSE()</f>
        <v>0</v>
      </c>
      <c r="J7" s="35" t="s">
        <v>30</v>
      </c>
      <c r="K7" s="40"/>
      <c r="L7" s="35" t="n">
        <v>3.5</v>
      </c>
      <c r="M7" s="35" t="n">
        <v>300</v>
      </c>
      <c r="N7" s="35" t="s">
        <v>31</v>
      </c>
      <c r="O7" s="41" t="s">
        <v>39</v>
      </c>
      <c r="P7" s="42" t="n">
        <f aca="false">IF(C$3=TRUE(),RANK(C7,C$4:C$39,0),0)</f>
        <v>0</v>
      </c>
      <c r="Q7" s="43" t="n">
        <f aca="false">IF(D$3=TRUE(),RANK(D7,D$4:D$39,0),0)</f>
        <v>2</v>
      </c>
      <c r="R7" s="43" t="n">
        <f aca="false">IF(E$3=TRUE(),RANK(E7,E$4:E$39,0),0)</f>
        <v>14</v>
      </c>
      <c r="S7" s="43" t="n">
        <f aca="false">IF(L$3=TRUE(),RANK(L7,L$4:L$39,0),0)</f>
        <v>0</v>
      </c>
      <c r="T7" s="43" t="n">
        <f aca="false">IF(M$3=TRUE(),RANK(M7,M$4:M$39,0),0)</f>
        <v>0</v>
      </c>
      <c r="U7" s="43" t="n">
        <f aca="false">IF($F$3=TRUE(),RANK(F7,F$4:F$39,1),0)</f>
        <v>19</v>
      </c>
      <c r="V7" s="43" t="n">
        <f aca="false">IF($G$3=TRUE(),RANK(G7,G$4:G$39,0),0)</f>
        <v>24</v>
      </c>
      <c r="W7" s="43" t="n">
        <f aca="false">IF($H$3=TRUE(),RANK(H7,H$4:H$39,1),0)</f>
        <v>13</v>
      </c>
      <c r="X7" s="0" t="n">
        <v>1</v>
      </c>
      <c r="Y7" s="43" t="n">
        <f aca="false">IF(C$3=TRUE(),C$2*(COUNTA($A$4:$A$39)-P7+1),0)</f>
        <v>0</v>
      </c>
      <c r="Z7" s="43" t="n">
        <f aca="false">IF(D$3=TRUE(),D$2*(COUNTA($A$4:$A$39)-Q7+1),0)</f>
        <v>175</v>
      </c>
      <c r="AA7" s="43" t="n">
        <f aca="false">IF(E$3=TRUE(),E$2*(COUNTA($A$4:$A$39)-R7+1),0)</f>
        <v>92</v>
      </c>
      <c r="AB7" s="43" t="n">
        <f aca="false">IF(L$3=TRUE(),L$2*(COUNTA($A$4:$A$39)-S7+1),0)</f>
        <v>0</v>
      </c>
      <c r="AC7" s="43" t="n">
        <f aca="false">IF(M$3=TRUE(),M$2*(COUNTA($A$4:$A$39)-T7+1),0)</f>
        <v>0</v>
      </c>
      <c r="AD7" s="43" t="n">
        <f aca="false">IF(F$3=TRUE(),F$2*(COUNTA($A$4:$A$39)-U7+1),0)</f>
        <v>90</v>
      </c>
      <c r="AE7" s="43" t="n">
        <f aca="false">IF(G$3=TRUE(),G$2*(COUNTA($A$4:$A$39)-V7+1),0)</f>
        <v>39</v>
      </c>
      <c r="AF7" s="43" t="n">
        <f aca="false">IF(H$3=TRUE(),H$2*(COUNTA($A$4:$A$39)-W7+1),0)</f>
        <v>48</v>
      </c>
      <c r="AG7" s="43" t="n">
        <f aca="false">IF(J$3=TRUE(),J$2*(COUNTA($A$4:$A$39)-X7+1),0)</f>
        <v>144</v>
      </c>
      <c r="AH7" s="43" t="n">
        <f aca="false">IF(I7=TRUE(),0,SUM(Y7:AG7))</f>
        <v>588</v>
      </c>
    </row>
    <row r="8" customFormat="false" ht="17.25" hidden="false" customHeight="true" outlineLevel="0" collapsed="false">
      <c r="A8" s="35" t="s">
        <v>40</v>
      </c>
      <c r="B8" s="36" t="n">
        <f aca="false">RANK(AH8,$AH$4:$AH$39)</f>
        <v>5</v>
      </c>
      <c r="C8" s="35" t="n">
        <v>277.5</v>
      </c>
      <c r="D8" s="35" t="n">
        <v>59</v>
      </c>
      <c r="E8" s="35" t="n">
        <v>30</v>
      </c>
      <c r="F8" s="37" t="n">
        <f aca="false">M8/C8</f>
        <v>10.8108108108108</v>
      </c>
      <c r="G8" s="38" t="n">
        <v>4925</v>
      </c>
      <c r="H8" s="35" t="n">
        <v>73</v>
      </c>
      <c r="I8" s="39" t="b">
        <f aca="false">FALSE()</f>
        <v>0</v>
      </c>
      <c r="J8" s="35" t="s">
        <v>30</v>
      </c>
      <c r="K8" s="40"/>
      <c r="L8" s="35" t="n">
        <v>1.8</v>
      </c>
      <c r="M8" s="35" t="n">
        <v>3000</v>
      </c>
      <c r="N8" s="35" t="s">
        <v>41</v>
      </c>
      <c r="O8" s="41" t="s">
        <v>42</v>
      </c>
      <c r="P8" s="42" t="n">
        <f aca="false">IF(C$3=TRUE(),RANK(C8,C$4:C$39,0),0)</f>
        <v>0</v>
      </c>
      <c r="Q8" s="43" t="n">
        <f aca="false">IF(D$3=TRUE(),RANK(D8,D$4:D$39,0),0)</f>
        <v>23</v>
      </c>
      <c r="R8" s="43" t="n">
        <f aca="false">IF(E$3=TRUE(),RANK(E8,E$4:E$39,0),0)</f>
        <v>7</v>
      </c>
      <c r="S8" s="43" t="n">
        <f aca="false">IF(L$3=TRUE(),RANK(L8,L$4:L$39,0),0)</f>
        <v>0</v>
      </c>
      <c r="T8" s="43" t="n">
        <f aca="false">IF(M$3=TRUE(),RANK(M8,M$4:M$39,0),0)</f>
        <v>0</v>
      </c>
      <c r="U8" s="43" t="n">
        <f aca="false">IF($F$3=TRUE(),RANK(F8,F$4:F$39,1),0)</f>
        <v>12</v>
      </c>
      <c r="V8" s="43" t="n">
        <f aca="false">IF($G$3=TRUE(),RANK(G8,G$4:G$39,0),0)</f>
        <v>17</v>
      </c>
      <c r="W8" s="43" t="n">
        <f aca="false">IF($H$3=TRUE(),RANK(H8,H$4:H$39,1),0)</f>
        <v>21</v>
      </c>
      <c r="X8" s="0" t="n">
        <v>1</v>
      </c>
      <c r="Y8" s="43" t="n">
        <f aca="false">IF(C$3=TRUE(),C$2*(COUNTA($A$4:$A$39)-P8+1),0)</f>
        <v>0</v>
      </c>
      <c r="Z8" s="43" t="n">
        <f aca="false">IF(D$3=TRUE(),D$2*(COUNTA($A$4:$A$39)-Q8+1),0)</f>
        <v>70</v>
      </c>
      <c r="AA8" s="43" t="n">
        <f aca="false">IF(E$3=TRUE(),E$2*(COUNTA($A$4:$A$39)-R8+1),0)</f>
        <v>120</v>
      </c>
      <c r="AB8" s="43" t="n">
        <f aca="false">IF(L$3=TRUE(),L$2*(COUNTA($A$4:$A$39)-S8+1),0)</f>
        <v>0</v>
      </c>
      <c r="AC8" s="43" t="n">
        <f aca="false">IF(M$3=TRUE(),M$2*(COUNTA($A$4:$A$39)-T8+1),0)</f>
        <v>0</v>
      </c>
      <c r="AD8" s="43" t="n">
        <f aca="false">IF(F$3=TRUE(),F$2*(COUNTA($A$4:$A$39)-U8+1),0)</f>
        <v>125</v>
      </c>
      <c r="AE8" s="43" t="n">
        <f aca="false">IF(G$3=TRUE(),G$2*(COUNTA($A$4:$A$39)-V8+1),0)</f>
        <v>60</v>
      </c>
      <c r="AF8" s="43" t="n">
        <f aca="false">IF(H$3=TRUE(),H$2*(COUNTA($A$4:$A$39)-W8+1),0)</f>
        <v>32</v>
      </c>
      <c r="AG8" s="43" t="n">
        <f aca="false">IF(J$3=TRUE(),J$2*(COUNTA($A$4:$A$39)-X8+1),0)</f>
        <v>144</v>
      </c>
      <c r="AH8" s="43" t="n">
        <f aca="false">IF(I8=TRUE(),0,SUM(Y8:AG8))</f>
        <v>551</v>
      </c>
    </row>
    <row r="9" customFormat="false" ht="17.25" hidden="false" customHeight="true" outlineLevel="0" collapsed="false">
      <c r="A9" s="35" t="s">
        <v>43</v>
      </c>
      <c r="B9" s="36" t="n">
        <f aca="false">RANK(AH9,$AH$4:$AH$39)</f>
        <v>6</v>
      </c>
      <c r="C9" s="35" t="n">
        <v>34.7</v>
      </c>
      <c r="D9" s="35" t="n">
        <v>48</v>
      </c>
      <c r="E9" s="35" t="n">
        <v>28</v>
      </c>
      <c r="F9" s="37" t="n">
        <f aca="false">M9/C9</f>
        <v>4.32276657060519</v>
      </c>
      <c r="G9" s="38" t="n">
        <v>3200</v>
      </c>
      <c r="H9" s="35" t="n">
        <v>63</v>
      </c>
      <c r="I9" s="39" t="b">
        <f aca="false">FALSE()</f>
        <v>0</v>
      </c>
      <c r="J9" s="35" t="s">
        <v>30</v>
      </c>
      <c r="K9" s="40"/>
      <c r="L9" s="35" t="n">
        <v>2.5</v>
      </c>
      <c r="M9" s="35" t="n">
        <v>150</v>
      </c>
      <c r="N9" s="35" t="s">
        <v>34</v>
      </c>
      <c r="O9" s="41" t="s">
        <v>44</v>
      </c>
      <c r="P9" s="42" t="n">
        <f aca="false">IF(C$3=TRUE(),RANK(C9,C$4:C$39,0),0)</f>
        <v>0</v>
      </c>
      <c r="Q9" s="43" t="n">
        <f aca="false">IF(D$3=TRUE(),RANK(D9,D$4:D$39,0),0)</f>
        <v>26</v>
      </c>
      <c r="R9" s="43" t="n">
        <f aca="false">IF(E$3=TRUE(),RANK(E9,E$4:E$39,0),0)</f>
        <v>19</v>
      </c>
      <c r="S9" s="43" t="n">
        <f aca="false">IF(L$3=TRUE(),RANK(L9,L$4:L$39,0),0)</f>
        <v>0</v>
      </c>
      <c r="T9" s="43" t="n">
        <f aca="false">IF(M$3=TRUE(),RANK(M9,M$4:M$39,0),0)</f>
        <v>0</v>
      </c>
      <c r="U9" s="43" t="n">
        <f aca="false">IF($F$3=TRUE(),RANK(F9,F$4:F$39,1),0)</f>
        <v>4</v>
      </c>
      <c r="V9" s="43" t="n">
        <f aca="false">IF($G$3=TRUE(),RANK(G9,G$4:G$39,0),0)</f>
        <v>24</v>
      </c>
      <c r="W9" s="43" t="n">
        <f aca="false">IF($H$3=TRUE(),RANK(H9,H$4:H$39,1),0)</f>
        <v>13</v>
      </c>
      <c r="X9" s="0" t="n">
        <v>1</v>
      </c>
      <c r="Y9" s="43" t="n">
        <f aca="false">IF(C$3=TRUE(),C$2*(COUNTA($A$4:$A$39)-P9+1),0)</f>
        <v>0</v>
      </c>
      <c r="Z9" s="43" t="n">
        <f aca="false">IF(D$3=TRUE(),D$2*(COUNTA($A$4:$A$39)-Q9+1),0)</f>
        <v>55</v>
      </c>
      <c r="AA9" s="43" t="n">
        <f aca="false">IF(E$3=TRUE(),E$2*(COUNTA($A$4:$A$39)-R9+1),0)</f>
        <v>72</v>
      </c>
      <c r="AB9" s="43" t="n">
        <f aca="false">IF(L$3=TRUE(),L$2*(COUNTA($A$4:$A$39)-S9+1),0)</f>
        <v>0</v>
      </c>
      <c r="AC9" s="43" t="n">
        <f aca="false">IF(M$3=TRUE(),M$2*(COUNTA($A$4:$A$39)-T9+1),0)</f>
        <v>0</v>
      </c>
      <c r="AD9" s="43" t="n">
        <f aca="false">IF(F$3=TRUE(),F$2*(COUNTA($A$4:$A$39)-U9+1),0)</f>
        <v>165</v>
      </c>
      <c r="AE9" s="43" t="n">
        <f aca="false">IF(G$3=TRUE(),G$2*(COUNTA($A$4:$A$39)-V9+1),0)</f>
        <v>39</v>
      </c>
      <c r="AF9" s="43" t="n">
        <f aca="false">IF(H$3=TRUE(),H$2*(COUNTA($A$4:$A$39)-W9+1),0)</f>
        <v>48</v>
      </c>
      <c r="AG9" s="43" t="n">
        <f aca="false">IF(J$3=TRUE(),J$2*(COUNTA($A$4:$A$39)-X9+1),0)</f>
        <v>144</v>
      </c>
      <c r="AH9" s="43" t="n">
        <f aca="false">IF(I9=TRUE(),0,SUM(Y9:AG9))</f>
        <v>523</v>
      </c>
    </row>
    <row r="10" customFormat="false" ht="17.25" hidden="false" customHeight="true" outlineLevel="0" collapsed="false">
      <c r="A10" s="35" t="s">
        <v>45</v>
      </c>
      <c r="B10" s="36" t="n">
        <f aca="false">RANK(AH10,$AH$4:$AH$39)</f>
        <v>7</v>
      </c>
      <c r="C10" s="35" t="n">
        <v>245.2</v>
      </c>
      <c r="D10" s="35" t="n">
        <v>39</v>
      </c>
      <c r="E10" s="35" t="n">
        <v>30</v>
      </c>
      <c r="F10" s="37" t="n">
        <f aca="false">M10/C10</f>
        <v>1.8352365415987</v>
      </c>
      <c r="G10" s="38" t="n">
        <v>1580</v>
      </c>
      <c r="H10" s="35" t="n">
        <v>108</v>
      </c>
      <c r="I10" s="39" t="b">
        <f aca="false">FALSE()</f>
        <v>0</v>
      </c>
      <c r="J10" s="35" t="s">
        <v>30</v>
      </c>
      <c r="K10" s="40" t="s">
        <v>46</v>
      </c>
      <c r="L10" s="35" t="n">
        <v>3.65</v>
      </c>
      <c r="M10" s="35" t="n">
        <v>450</v>
      </c>
      <c r="N10" s="35" t="s">
        <v>47</v>
      </c>
      <c r="O10" s="41" t="s">
        <v>48</v>
      </c>
      <c r="P10" s="42" t="n">
        <f aca="false">IF(C$3=TRUE(),RANK(C10,C$4:C$39,0),0)</f>
        <v>0</v>
      </c>
      <c r="Q10" s="43" t="n">
        <f aca="false">IF(D$3=TRUE(),RANK(D10,D$4:D$39,0),0)</f>
        <v>30</v>
      </c>
      <c r="R10" s="43" t="n">
        <f aca="false">IF(E$3=TRUE(),RANK(E10,E$4:E$39,0),0)</f>
        <v>7</v>
      </c>
      <c r="S10" s="43" t="n">
        <f aca="false">IF(L$3=TRUE(),RANK(L10,L$4:L$39,0),0)</f>
        <v>0</v>
      </c>
      <c r="T10" s="43" t="n">
        <f aca="false">IF(M$3=TRUE(),RANK(M10,M$4:M$39,0),0)</f>
        <v>0</v>
      </c>
      <c r="U10" s="43" t="n">
        <f aca="false">IF($F$3=TRUE(),RANK(F10,F$4:F$39,1),0)</f>
        <v>2</v>
      </c>
      <c r="V10" s="43" t="n">
        <f aca="false">IF($G$3=TRUE(),RANK(G10,G$4:G$39,0),0)</f>
        <v>32</v>
      </c>
      <c r="W10" s="43" t="n">
        <f aca="false">IF($H$3=TRUE(),RANK(H10,H$4:H$39,1),0)</f>
        <v>28</v>
      </c>
      <c r="X10" s="0" t="n">
        <v>1</v>
      </c>
      <c r="Y10" s="43" t="n">
        <f aca="false">IF(C$3=TRUE(),C$2*(COUNTA($A$4:$A$39)-P10+1),0)</f>
        <v>0</v>
      </c>
      <c r="Z10" s="43" t="n">
        <f aca="false">IF(D$3=TRUE(),D$2*(COUNTA($A$4:$A$39)-Q10+1),0)</f>
        <v>35</v>
      </c>
      <c r="AA10" s="43" t="n">
        <f aca="false">IF(E$3=TRUE(),E$2*(COUNTA($A$4:$A$39)-R10+1),0)</f>
        <v>120</v>
      </c>
      <c r="AB10" s="43" t="n">
        <f aca="false">IF(L$3=TRUE(),L$2*(COUNTA($A$4:$A$39)-S10+1),0)</f>
        <v>0</v>
      </c>
      <c r="AC10" s="43" t="n">
        <f aca="false">IF(M$3=TRUE(),M$2*(COUNTA($A$4:$A$39)-T10+1),0)</f>
        <v>0</v>
      </c>
      <c r="AD10" s="43" t="n">
        <f aca="false">IF(F$3=TRUE(),F$2*(COUNTA($A$4:$A$39)-U10+1),0)</f>
        <v>175</v>
      </c>
      <c r="AE10" s="43" t="n">
        <f aca="false">IF(G$3=TRUE(),G$2*(COUNTA($A$4:$A$39)-V10+1),0)</f>
        <v>15</v>
      </c>
      <c r="AF10" s="43" t="n">
        <f aca="false">IF(H$3=TRUE(),H$2*(COUNTA($A$4:$A$39)-W10+1),0)</f>
        <v>18</v>
      </c>
      <c r="AG10" s="43" t="n">
        <f aca="false">IF(J$3=TRUE(),J$2*(COUNTA($A$4:$A$39)-X10+1),0)</f>
        <v>144</v>
      </c>
      <c r="AH10" s="43" t="n">
        <f aca="false">IF(I10=TRUE(),0,SUM(Y10:AG10))</f>
        <v>507</v>
      </c>
    </row>
    <row r="11" customFormat="false" ht="17.25" hidden="false" customHeight="true" outlineLevel="0" collapsed="false">
      <c r="A11" s="35" t="s">
        <v>49</v>
      </c>
      <c r="B11" s="36" t="n">
        <f aca="false">RANK(AH11,$AH$4:$AH$39)</f>
        <v>8</v>
      </c>
      <c r="C11" s="35" t="n">
        <v>51.7</v>
      </c>
      <c r="D11" s="35" t="n">
        <v>82</v>
      </c>
      <c r="E11" s="35" t="n">
        <v>23</v>
      </c>
      <c r="F11" s="37" t="n">
        <f aca="false">M11/C11</f>
        <v>77.3694390715667</v>
      </c>
      <c r="G11" s="38" t="n">
        <v>34640</v>
      </c>
      <c r="H11" s="35" t="n">
        <v>5</v>
      </c>
      <c r="I11" s="39" t="b">
        <f aca="false">FALSE()</f>
        <v>0</v>
      </c>
      <c r="J11" s="35" t="s">
        <v>30</v>
      </c>
      <c r="K11" s="40"/>
      <c r="L11" s="35" t="n">
        <v>3.75</v>
      </c>
      <c r="M11" s="35" t="n">
        <v>4000</v>
      </c>
      <c r="N11" s="35" t="s">
        <v>50</v>
      </c>
      <c r="O11" s="41" t="s">
        <v>51</v>
      </c>
      <c r="P11" s="42" t="n">
        <f aca="false">IF(C$3=TRUE(),RANK(C11,C$4:C$39,0),0)</f>
        <v>0</v>
      </c>
      <c r="Q11" s="43" t="n">
        <f aca="false">IF(D$3=TRUE(),RANK(D11,D$4:D$39,0),0)</f>
        <v>13</v>
      </c>
      <c r="R11" s="43" t="n">
        <f aca="false">IF(E$3=TRUE(),RANK(E11,E$4:E$39,0),0)</f>
        <v>35</v>
      </c>
      <c r="S11" s="43" t="n">
        <f aca="false">IF(L$3=TRUE(),RANK(L11,L$4:L$39,0),0)</f>
        <v>0</v>
      </c>
      <c r="T11" s="43" t="n">
        <f aca="false">IF(M$3=TRUE(),RANK(M11,M$4:M$39,0),0)</f>
        <v>0</v>
      </c>
      <c r="U11" s="43" t="n">
        <f aca="false">IF($F$3=TRUE(),RANK(F11,F$4:F$39,1),0)</f>
        <v>31</v>
      </c>
      <c r="V11" s="43" t="n">
        <f aca="false">IF($G$3=TRUE(),RANK(G11,G$4:G$39,0),0)</f>
        <v>3</v>
      </c>
      <c r="W11" s="43" t="n">
        <f aca="false">IF($H$3=TRUE(),RANK(H11,H$4:H$39,1),0)</f>
        <v>2</v>
      </c>
      <c r="X11" s="0" t="n">
        <v>1</v>
      </c>
      <c r="Y11" s="43" t="n">
        <f aca="false">IF(C$3=TRUE(),C$2*(COUNTA($A$4:$A$39)-P11+1),0)</f>
        <v>0</v>
      </c>
      <c r="Z11" s="43" t="n">
        <f aca="false">IF(D$3=TRUE(),D$2*(COUNTA($A$4:$A$39)-Q11+1),0)</f>
        <v>120</v>
      </c>
      <c r="AA11" s="43" t="n">
        <f aca="false">IF(E$3=TRUE(),E$2*(COUNTA($A$4:$A$39)-R11+1),0)</f>
        <v>8</v>
      </c>
      <c r="AB11" s="43" t="n">
        <f aca="false">IF(L$3=TRUE(),L$2*(COUNTA($A$4:$A$39)-S11+1),0)</f>
        <v>0</v>
      </c>
      <c r="AC11" s="43" t="n">
        <f aca="false">IF(M$3=TRUE(),M$2*(COUNTA($A$4:$A$39)-T11+1),0)</f>
        <v>0</v>
      </c>
      <c r="AD11" s="43" t="n">
        <f aca="false">IF(F$3=TRUE(),F$2*(COUNTA($A$4:$A$39)-U11+1),0)</f>
        <v>30</v>
      </c>
      <c r="AE11" s="43" t="n">
        <f aca="false">IF(G$3=TRUE(),G$2*(COUNTA($A$4:$A$39)-V11+1),0)</f>
        <v>102</v>
      </c>
      <c r="AF11" s="43" t="n">
        <f aca="false">IF(H$3=TRUE(),H$2*(COUNTA($A$4:$A$39)-W11+1),0)</f>
        <v>70</v>
      </c>
      <c r="AG11" s="43" t="n">
        <f aca="false">IF(J$3=TRUE(),J$2*(COUNTA($A$4:$A$39)-X11+1),0)</f>
        <v>144</v>
      </c>
      <c r="AH11" s="43" t="n">
        <f aca="false">IF(I11=TRUE(),0,SUM(Y11:AG11))</f>
        <v>474</v>
      </c>
    </row>
    <row r="12" customFormat="false" ht="17.25" hidden="false" customHeight="true" outlineLevel="0" collapsed="false">
      <c r="A12" s="35" t="s">
        <v>52</v>
      </c>
      <c r="B12" s="36" t="n">
        <f aca="false">RANK(AH12,$AH$4:$AH$39)</f>
        <v>9</v>
      </c>
      <c r="C12" s="35" t="n">
        <v>37.5</v>
      </c>
      <c r="D12" s="35" t="n">
        <v>64</v>
      </c>
      <c r="E12" s="35" t="n">
        <v>29</v>
      </c>
      <c r="F12" s="37" t="n">
        <f aca="false">M12/C12</f>
        <v>12</v>
      </c>
      <c r="G12" s="38" t="n">
        <v>4200</v>
      </c>
      <c r="H12" s="35" t="n">
        <v>53</v>
      </c>
      <c r="I12" s="39" t="b">
        <f aca="false">FALSE()</f>
        <v>0</v>
      </c>
      <c r="J12" s="35" t="s">
        <v>53</v>
      </c>
      <c r="K12" s="40"/>
      <c r="L12" s="35" t="n">
        <v>3.25</v>
      </c>
      <c r="M12" s="35" t="n">
        <v>450</v>
      </c>
      <c r="N12" s="35" t="s">
        <v>54</v>
      </c>
      <c r="O12" s="41" t="s">
        <v>55</v>
      </c>
      <c r="P12" s="42" t="n">
        <f aca="false">IF(C$3=TRUE(),RANK(C12,C$4:C$39,0),0)</f>
        <v>0</v>
      </c>
      <c r="Q12" s="43" t="n">
        <f aca="false">IF(D$3=TRUE(),RANK(D12,D$4:D$39,0),0)</f>
        <v>22</v>
      </c>
      <c r="R12" s="43" t="n">
        <f aca="false">IF(E$3=TRUE(),RANK(E12,E$4:E$39,0),0)</f>
        <v>14</v>
      </c>
      <c r="S12" s="43" t="n">
        <f aca="false">IF(L$3=TRUE(),RANK(L12,L$4:L$39,0),0)</f>
        <v>0</v>
      </c>
      <c r="T12" s="43" t="n">
        <f aca="false">IF(M$3=TRUE(),RANK(M12,M$4:M$39,0),0)</f>
        <v>0</v>
      </c>
      <c r="U12" s="43" t="n">
        <f aca="false">IF($F$3=TRUE(),RANK(F12,F$4:F$39,1),0)</f>
        <v>14</v>
      </c>
      <c r="V12" s="43" t="n">
        <f aca="false">IF($G$3=TRUE(),RANK(G12,G$4:G$39,0),0)</f>
        <v>21</v>
      </c>
      <c r="W12" s="43" t="n">
        <f aca="false">IF($H$3=TRUE(),RANK(H12,H$4:H$39,1),0)</f>
        <v>10</v>
      </c>
      <c r="X12" s="0" t="n">
        <v>17</v>
      </c>
      <c r="Y12" s="43" t="n">
        <f aca="false">IF(C$3=TRUE(),C$2*(COUNTA($A$4:$A$39)-P12+1),0)</f>
        <v>0</v>
      </c>
      <c r="Z12" s="43" t="n">
        <f aca="false">IF(D$3=TRUE(),D$2*(COUNTA($A$4:$A$39)-Q12+1),0)</f>
        <v>75</v>
      </c>
      <c r="AA12" s="43" t="n">
        <f aca="false">IF(E$3=TRUE(),E$2*(COUNTA($A$4:$A$39)-R12+1),0)</f>
        <v>92</v>
      </c>
      <c r="AB12" s="43" t="n">
        <f aca="false">IF(L$3=TRUE(),L$2*(COUNTA($A$4:$A$39)-S12+1),0)</f>
        <v>0</v>
      </c>
      <c r="AC12" s="43" t="n">
        <f aca="false">IF(M$3=TRUE(),M$2*(COUNTA($A$4:$A$39)-T12+1),0)</f>
        <v>0</v>
      </c>
      <c r="AD12" s="43" t="n">
        <f aca="false">IF(F$3=TRUE(),F$2*(COUNTA($A$4:$A$39)-U12+1),0)</f>
        <v>115</v>
      </c>
      <c r="AE12" s="43" t="n">
        <f aca="false">IF(G$3=TRUE(),G$2*(COUNTA($A$4:$A$39)-V12+1),0)</f>
        <v>48</v>
      </c>
      <c r="AF12" s="43" t="n">
        <f aca="false">IF(H$3=TRUE(),H$2*(COUNTA($A$4:$A$39)-W12+1),0)</f>
        <v>54</v>
      </c>
      <c r="AG12" s="43" t="n">
        <f aca="false">IF(J$3=TRUE(),J$2*(COUNTA($A$4:$A$39)-X12+1),0)</f>
        <v>80</v>
      </c>
      <c r="AH12" s="43" t="n">
        <f aca="false">IF(I12=TRUE(),0,SUM(Y12:AG12))</f>
        <v>464</v>
      </c>
    </row>
    <row r="13" customFormat="false" ht="17.25" hidden="false" customHeight="true" outlineLevel="0" collapsed="false">
      <c r="A13" s="35" t="s">
        <v>56</v>
      </c>
      <c r="B13" s="36" t="n">
        <f aca="false">RANK(AH13,$AH$4:$AH$39)</f>
        <v>12</v>
      </c>
      <c r="C13" s="35" t="n">
        <v>85</v>
      </c>
      <c r="D13" s="35" t="n">
        <v>76</v>
      </c>
      <c r="E13" s="35" t="n">
        <v>26</v>
      </c>
      <c r="F13" s="37" t="n">
        <f aca="false">M13/C13</f>
        <v>13.5294117647059</v>
      </c>
      <c r="G13" s="38" t="n">
        <v>13000</v>
      </c>
      <c r="H13" s="35" t="n">
        <v>33</v>
      </c>
      <c r="I13" s="39" t="b">
        <f aca="false">FALSE()</f>
        <v>0</v>
      </c>
      <c r="J13" s="35" t="s">
        <v>53</v>
      </c>
      <c r="K13" s="40" t="s">
        <v>57</v>
      </c>
      <c r="L13" s="35" t="n">
        <v>3.25</v>
      </c>
      <c r="M13" s="35" t="n">
        <v>1150</v>
      </c>
      <c r="N13" s="35" t="s">
        <v>58</v>
      </c>
      <c r="O13" s="41" t="s">
        <v>59</v>
      </c>
      <c r="P13" s="42" t="n">
        <f aca="false">IF(C$3=TRUE(),RANK(C13,C$4:C$39,0),0)</f>
        <v>0</v>
      </c>
      <c r="Q13" s="43" t="n">
        <f aca="false">IF(D$3=TRUE(),RANK(D13,D$4:D$39,0),0)</f>
        <v>18</v>
      </c>
      <c r="R13" s="43" t="n">
        <f aca="false">IF(E$3=TRUE(),RANK(E13,E$4:E$39,0),0)</f>
        <v>29</v>
      </c>
      <c r="S13" s="43" t="n">
        <f aca="false">IF(L$3=TRUE(),RANK(L13,L$4:L$39,0),0)</f>
        <v>0</v>
      </c>
      <c r="T13" s="43" t="n">
        <f aca="false">IF(M$3=TRUE(),RANK(M13,M$4:M$39,0),0)</f>
        <v>0</v>
      </c>
      <c r="U13" s="43" t="n">
        <f aca="false">IF($F$3=TRUE(),RANK(F13,F$4:F$39,1),0)</f>
        <v>17</v>
      </c>
      <c r="V13" s="43" t="n">
        <f aca="false">IF($G$3=TRUE(),RANK(G13,G$4:G$39,0),0)</f>
        <v>8</v>
      </c>
      <c r="W13" s="43" t="n">
        <f aca="false">IF($H$3=TRUE(),RANK(H13,H$4:H$39,1),0)</f>
        <v>8</v>
      </c>
      <c r="X13" s="0" t="n">
        <v>17</v>
      </c>
      <c r="Y13" s="43" t="n">
        <f aca="false">IF(C$3=TRUE(),C$2*(COUNTA($A$4:$A$39)-P13+1),0)</f>
        <v>0</v>
      </c>
      <c r="Z13" s="43" t="n">
        <f aca="false">IF(D$3=TRUE(),D$2*(COUNTA($A$4:$A$39)-Q13+1),0)</f>
        <v>95</v>
      </c>
      <c r="AA13" s="43" t="n">
        <f aca="false">IF(E$3=TRUE(),E$2*(COUNTA($A$4:$A$39)-R13+1),0)</f>
        <v>32</v>
      </c>
      <c r="AB13" s="43" t="n">
        <f aca="false">IF(L$3=TRUE(),L$2*(COUNTA($A$4:$A$39)-S13+1),0)</f>
        <v>0</v>
      </c>
      <c r="AC13" s="43" t="n">
        <f aca="false">IF(M$3=TRUE(),M$2*(COUNTA($A$4:$A$39)-T13+1),0)</f>
        <v>0</v>
      </c>
      <c r="AD13" s="43" t="n">
        <f aca="false">IF(F$3=TRUE(),F$2*(COUNTA($A$4:$A$39)-U13+1),0)</f>
        <v>100</v>
      </c>
      <c r="AE13" s="43" t="n">
        <f aca="false">IF(G$3=TRUE(),G$2*(COUNTA($A$4:$A$39)-V13+1),0)</f>
        <v>87</v>
      </c>
      <c r="AF13" s="43" t="n">
        <f aca="false">IF(H$3=TRUE(),H$2*(COUNTA($A$4:$A$39)-W13+1),0)</f>
        <v>58</v>
      </c>
      <c r="AG13" s="43" t="n">
        <f aca="false">IF(J$3=TRUE(),J$2*(COUNTA($A$4:$A$39)-X13+1),0)</f>
        <v>80</v>
      </c>
      <c r="AH13" s="43" t="n">
        <f aca="false">IF(I13=TRUE(),0,SUM(Y13:AG13))</f>
        <v>452</v>
      </c>
    </row>
    <row r="14" customFormat="false" ht="17.25" hidden="false" customHeight="true" outlineLevel="0" collapsed="false">
      <c r="A14" s="35" t="s">
        <v>60</v>
      </c>
      <c r="B14" s="36" t="n">
        <f aca="false">RANK(AH14,$AH$4:$AH$39)</f>
        <v>10</v>
      </c>
      <c r="C14" s="35" t="n">
        <v>34.5</v>
      </c>
      <c r="D14" s="35" t="n">
        <v>79</v>
      </c>
      <c r="E14" s="35" t="n">
        <v>27</v>
      </c>
      <c r="F14" s="37" t="n">
        <f aca="false">M14/C14</f>
        <v>13.0434782608696</v>
      </c>
      <c r="G14" s="38" t="n">
        <v>7300</v>
      </c>
      <c r="H14" s="35" t="n">
        <v>76</v>
      </c>
      <c r="I14" s="39" t="b">
        <f aca="false">FALSE()</f>
        <v>0</v>
      </c>
      <c r="J14" s="35" t="s">
        <v>53</v>
      </c>
      <c r="K14" s="40" t="s">
        <v>61</v>
      </c>
      <c r="L14" s="35" t="n">
        <v>2.75</v>
      </c>
      <c r="M14" s="35" t="n">
        <v>450</v>
      </c>
      <c r="N14" s="35" t="s">
        <v>62</v>
      </c>
      <c r="O14" s="41" t="s">
        <v>63</v>
      </c>
      <c r="P14" s="42" t="n">
        <f aca="false">IF(C$3=TRUE(),RANK(C14,C$4:C$39,0),0)</f>
        <v>0</v>
      </c>
      <c r="Q14" s="43" t="n">
        <f aca="false">IF(D$3=TRUE(),RANK(D14,D$4:D$39,0),0)</f>
        <v>15</v>
      </c>
      <c r="R14" s="43" t="n">
        <f aca="false">IF(E$3=TRUE(),RANK(E14,E$4:E$39,0),0)</f>
        <v>23</v>
      </c>
      <c r="S14" s="43" t="n">
        <f aca="false">IF(L$3=TRUE(),RANK(L14,L$4:L$39,0),0)</f>
        <v>0</v>
      </c>
      <c r="T14" s="43" t="n">
        <f aca="false">IF(M$3=TRUE(),RANK(M14,M$4:M$39,0),0)</f>
        <v>0</v>
      </c>
      <c r="U14" s="43" t="n">
        <f aca="false">IF($F$3=TRUE(),RANK(F14,F$4:F$39,1),0)</f>
        <v>15</v>
      </c>
      <c r="V14" s="43" t="n">
        <f aca="false">IF($G$3=TRUE(),RANK(G14,G$4:G$39,0),0)</f>
        <v>13</v>
      </c>
      <c r="W14" s="43" t="n">
        <f aca="false">IF($H$3=TRUE(),RANK(H14,H$4:H$39,1),0)</f>
        <v>22</v>
      </c>
      <c r="X14" s="0" t="n">
        <v>17</v>
      </c>
      <c r="Y14" s="43" t="n">
        <f aca="false">IF(C$3=TRUE(),C$2*(COUNTA($A$4:$A$39)-P14+1),0)</f>
        <v>0</v>
      </c>
      <c r="Z14" s="43" t="n">
        <f aca="false">IF(D$3=TRUE(),D$2*(COUNTA($A$4:$A$39)-Q14+1),0)</f>
        <v>110</v>
      </c>
      <c r="AA14" s="43" t="n">
        <f aca="false">IF(E$3=TRUE(),E$2*(COUNTA($A$4:$A$39)-R14+1),0)</f>
        <v>56</v>
      </c>
      <c r="AB14" s="43" t="n">
        <f aca="false">IF(L$3=TRUE(),L$2*(COUNTA($A$4:$A$39)-S14+1),0)</f>
        <v>0</v>
      </c>
      <c r="AC14" s="43" t="n">
        <f aca="false">IF(M$3=TRUE(),M$2*(COUNTA($A$4:$A$39)-T14+1),0)</f>
        <v>0</v>
      </c>
      <c r="AD14" s="43" t="n">
        <f aca="false">IF(F$3=TRUE(),F$2*(COUNTA($A$4:$A$39)-U14+1),0)</f>
        <v>110</v>
      </c>
      <c r="AE14" s="43" t="n">
        <f aca="false">IF(G$3=TRUE(),G$2*(COUNTA($A$4:$A$39)-V14+1),0)</f>
        <v>72</v>
      </c>
      <c r="AF14" s="43" t="n">
        <f aca="false">IF(H$3=TRUE(),H$2*(COUNTA($A$4:$A$39)-W14+1),0)</f>
        <v>30</v>
      </c>
      <c r="AG14" s="43" t="n">
        <f aca="false">IF(J$3=TRUE(),J$2*(COUNTA($A$4:$A$39)-X14+1),0)</f>
        <v>80</v>
      </c>
      <c r="AH14" s="43" t="n">
        <f aca="false">IF(I14=TRUE(),0,SUM(Y14:AG14))</f>
        <v>458</v>
      </c>
    </row>
    <row r="15" customFormat="false" ht="17.25" hidden="false" customHeight="true" outlineLevel="0" collapsed="false">
      <c r="A15" s="35" t="s">
        <v>64</v>
      </c>
      <c r="B15" s="36" t="n">
        <f aca="false">RANK(AH15,$AH$4:$AH$39)</f>
        <v>11</v>
      </c>
      <c r="C15" s="35" t="n">
        <v>100.3</v>
      </c>
      <c r="D15" s="35" t="n">
        <v>39</v>
      </c>
      <c r="E15" s="35" t="n">
        <v>30</v>
      </c>
      <c r="F15" s="37" t="n">
        <f aca="false">M15/C15</f>
        <v>14.9551345962114</v>
      </c>
      <c r="G15" s="38" t="n">
        <v>4450</v>
      </c>
      <c r="H15" s="35" t="n">
        <v>70</v>
      </c>
      <c r="I15" s="39" t="b">
        <f aca="false">FALSE()</f>
        <v>0</v>
      </c>
      <c r="J15" s="35" t="s">
        <v>30</v>
      </c>
      <c r="K15" s="40"/>
      <c r="L15" s="35" t="n">
        <v>1.7</v>
      </c>
      <c r="M15" s="35" t="n">
        <v>1500</v>
      </c>
      <c r="N15" s="35" t="s">
        <v>65</v>
      </c>
      <c r="O15" s="41" t="s">
        <v>66</v>
      </c>
      <c r="P15" s="42" t="n">
        <f aca="false">IF(C$3=TRUE(),RANK(C15,C$4:C$39,0),0)</f>
        <v>0</v>
      </c>
      <c r="Q15" s="43" t="n">
        <f aca="false">IF(D$3=TRUE(),RANK(D15,D$4:D$39,0),0)</f>
        <v>30</v>
      </c>
      <c r="R15" s="43" t="n">
        <f aca="false">IF(E$3=TRUE(),RANK(E15,E$4:E$39,0),0)</f>
        <v>7</v>
      </c>
      <c r="S15" s="43" t="n">
        <f aca="false">IF(L$3=TRUE(),RANK(L15,L$4:L$39,0),0)</f>
        <v>0</v>
      </c>
      <c r="T15" s="43" t="n">
        <f aca="false">IF(M$3=TRUE(),RANK(M15,M$4:M$39,0),0)</f>
        <v>0</v>
      </c>
      <c r="U15" s="43" t="n">
        <f aca="false">IF($F$3=TRUE(),RANK(F15,F$4:F$39,1),0)</f>
        <v>24</v>
      </c>
      <c r="V15" s="43" t="n">
        <f aca="false">IF($G$3=TRUE(),RANK(G15,G$4:G$39,0),0)</f>
        <v>18</v>
      </c>
      <c r="W15" s="43" t="n">
        <f aca="false">IF($H$3=TRUE(),RANK(H15,H$4:H$39,1),0)</f>
        <v>20</v>
      </c>
      <c r="X15" s="0" t="n">
        <v>1</v>
      </c>
      <c r="Y15" s="43" t="n">
        <f aca="false">IF(C$3=TRUE(),C$2*(COUNTA($A$4:$A$39)-P15+1),0)</f>
        <v>0</v>
      </c>
      <c r="Z15" s="43" t="n">
        <f aca="false">IF(D$3=TRUE(),D$2*(COUNTA($A$4:$A$39)-Q15+1),0)</f>
        <v>35</v>
      </c>
      <c r="AA15" s="43" t="n">
        <f aca="false">IF(E$3=TRUE(),E$2*(COUNTA($A$4:$A$39)-R15+1),0)</f>
        <v>120</v>
      </c>
      <c r="AB15" s="43" t="n">
        <f aca="false">IF(L$3=TRUE(),L$2*(COUNTA($A$4:$A$39)-S15+1),0)</f>
        <v>0</v>
      </c>
      <c r="AC15" s="43" t="n">
        <f aca="false">IF(M$3=TRUE(),M$2*(COUNTA($A$4:$A$39)-T15+1),0)</f>
        <v>0</v>
      </c>
      <c r="AD15" s="43" t="n">
        <f aca="false">IF(F$3=TRUE(),F$2*(COUNTA($A$4:$A$39)-U15+1),0)</f>
        <v>65</v>
      </c>
      <c r="AE15" s="43" t="n">
        <f aca="false">IF(G$3=TRUE(),G$2*(COUNTA($A$4:$A$39)-V15+1),0)</f>
        <v>57</v>
      </c>
      <c r="AF15" s="43" t="n">
        <f aca="false">IF(H$3=TRUE(),H$2*(COUNTA($A$4:$A$39)-W15+1),0)</f>
        <v>34</v>
      </c>
      <c r="AG15" s="43" t="n">
        <f aca="false">IF(J$3=TRUE(),J$2*(COUNTA($A$4:$A$39)-X15+1),0)</f>
        <v>144</v>
      </c>
      <c r="AH15" s="43" t="n">
        <f aca="false">IF(I15=TRUE(),0,SUM(Y15:AG15))</f>
        <v>455</v>
      </c>
    </row>
    <row r="16" customFormat="false" ht="17.25" hidden="false" customHeight="true" outlineLevel="0" collapsed="false">
      <c r="A16" s="35" t="s">
        <v>67</v>
      </c>
      <c r="B16" s="36" t="n">
        <f aca="false">RANK(AH16,$AH$4:$AH$39)</f>
        <v>15</v>
      </c>
      <c r="C16" s="35" t="n">
        <v>55</v>
      </c>
      <c r="D16" s="35" t="n">
        <v>29</v>
      </c>
      <c r="E16" s="35" t="n">
        <v>32</v>
      </c>
      <c r="F16" s="37" t="n">
        <f aca="false">M16/C16</f>
        <v>8.18181818181818</v>
      </c>
      <c r="G16" s="38" t="n">
        <v>2200</v>
      </c>
      <c r="H16" s="35" t="n">
        <v>56</v>
      </c>
      <c r="I16" s="39" t="b">
        <f aca="false">FALSE()</f>
        <v>0</v>
      </c>
      <c r="J16" s="35" t="s">
        <v>53</v>
      </c>
      <c r="K16" s="40" t="s">
        <v>68</v>
      </c>
      <c r="L16" s="35" t="n">
        <v>2.75</v>
      </c>
      <c r="M16" s="35" t="n">
        <v>450</v>
      </c>
      <c r="N16" s="35" t="s">
        <v>69</v>
      </c>
      <c r="O16" s="41" t="s">
        <v>70</v>
      </c>
      <c r="P16" s="42" t="n">
        <f aca="false">IF(C$3=TRUE(),RANK(C16,C$4:C$39,0),0)</f>
        <v>0</v>
      </c>
      <c r="Q16" s="43" t="n">
        <f aca="false">IF(D$3=TRUE(),RANK(D16,D$4:D$39,0),0)</f>
        <v>34</v>
      </c>
      <c r="R16" s="43" t="n">
        <f aca="false">IF(E$3=TRUE(),RANK(E16,E$4:E$39,0),0)</f>
        <v>2</v>
      </c>
      <c r="S16" s="43" t="n">
        <f aca="false">IF(L$3=TRUE(),RANK(L16,L$4:L$39,0),0)</f>
        <v>0</v>
      </c>
      <c r="T16" s="43" t="n">
        <f aca="false">IF(M$3=TRUE(),RANK(M16,M$4:M$39,0),0)</f>
        <v>0</v>
      </c>
      <c r="U16" s="43" t="n">
        <f aca="false">IF($F$3=TRUE(),RANK(F16,F$4:F$39,1),0)</f>
        <v>11</v>
      </c>
      <c r="V16" s="43" t="n">
        <f aca="false">IF($G$3=TRUE(),RANK(G16,G$4:G$39,0),0)</f>
        <v>31</v>
      </c>
      <c r="W16" s="43" t="n">
        <f aca="false">IF($H$3=TRUE(),RANK(H16,H$4:H$39,1),0)</f>
        <v>11</v>
      </c>
      <c r="X16" s="0" t="n">
        <v>17</v>
      </c>
      <c r="Y16" s="43" t="n">
        <f aca="false">IF(C$3=TRUE(),C$2*(COUNTA($A$4:$A$39)-P16+1),0)</f>
        <v>0</v>
      </c>
      <c r="Z16" s="43" t="n">
        <f aca="false">IF(D$3=TRUE(),D$2*(COUNTA($A$4:$A$39)-Q16+1),0)</f>
        <v>15</v>
      </c>
      <c r="AA16" s="43" t="n">
        <f aca="false">IF(E$3=TRUE(),E$2*(COUNTA($A$4:$A$39)-R16+1),0)</f>
        <v>140</v>
      </c>
      <c r="AB16" s="43" t="n">
        <f aca="false">IF(L$3=TRUE(),L$2*(COUNTA($A$4:$A$39)-S16+1),0)</f>
        <v>0</v>
      </c>
      <c r="AC16" s="43" t="n">
        <f aca="false">IF(M$3=TRUE(),M$2*(COUNTA($A$4:$A$39)-T16+1),0)</f>
        <v>0</v>
      </c>
      <c r="AD16" s="43" t="n">
        <f aca="false">IF(F$3=TRUE(),F$2*(COUNTA($A$4:$A$39)-U16+1),0)</f>
        <v>130</v>
      </c>
      <c r="AE16" s="43" t="n">
        <f aca="false">IF(G$3=TRUE(),G$2*(COUNTA($A$4:$A$39)-V16+1),0)</f>
        <v>18</v>
      </c>
      <c r="AF16" s="43" t="n">
        <f aca="false">IF(H$3=TRUE(),H$2*(COUNTA($A$4:$A$39)-W16+1),0)</f>
        <v>52</v>
      </c>
      <c r="AG16" s="43" t="n">
        <f aca="false">IF(J$3=TRUE(),J$2*(COUNTA($A$4:$A$39)-X16+1),0)</f>
        <v>80</v>
      </c>
      <c r="AH16" s="43" t="n">
        <f aca="false">IF(I16=TRUE(),0,SUM(Y16:AG16))</f>
        <v>435</v>
      </c>
    </row>
    <row r="17" customFormat="false" ht="17.25" hidden="false" customHeight="true" outlineLevel="0" collapsed="false">
      <c r="A17" s="35" t="s">
        <v>71</v>
      </c>
      <c r="B17" s="36" t="n">
        <f aca="false">RANK(AH17,$AH$4:$AH$39)</f>
        <v>16</v>
      </c>
      <c r="C17" s="35" t="n">
        <v>14</v>
      </c>
      <c r="D17" s="35" t="n">
        <v>31</v>
      </c>
      <c r="E17" s="35" t="n">
        <v>33</v>
      </c>
      <c r="F17" s="37" t="n">
        <f aca="false">M17/C17</f>
        <v>5</v>
      </c>
      <c r="G17" s="38" t="n">
        <v>970</v>
      </c>
      <c r="H17" s="35" t="n">
        <v>38</v>
      </c>
      <c r="I17" s="39" t="b">
        <f aca="false">FALSE()</f>
        <v>0</v>
      </c>
      <c r="J17" s="35" t="s">
        <v>72</v>
      </c>
      <c r="K17" s="40" t="s">
        <v>73</v>
      </c>
      <c r="L17" s="35" t="n">
        <v>2.5</v>
      </c>
      <c r="M17" s="35" t="n">
        <v>70</v>
      </c>
      <c r="N17" s="35" t="s">
        <v>74</v>
      </c>
      <c r="O17" s="41" t="s">
        <v>75</v>
      </c>
      <c r="P17" s="42" t="n">
        <f aca="false">IF(C$3=TRUE(),RANK(C17,C$4:C$39,0),0)</f>
        <v>0</v>
      </c>
      <c r="Q17" s="43" t="n">
        <f aca="false">IF(D$3=TRUE(),RANK(D17,D$4:D$39,0),0)</f>
        <v>33</v>
      </c>
      <c r="R17" s="43" t="n">
        <f aca="false">IF(E$3=TRUE(),RANK(E17,E$4:E$39,0),0)</f>
        <v>1</v>
      </c>
      <c r="S17" s="43" t="n">
        <f aca="false">IF(L$3=TRUE(),RANK(L17,L$4:L$39,0),0)</f>
        <v>0</v>
      </c>
      <c r="T17" s="43" t="n">
        <f aca="false">IF(M$3=TRUE(),RANK(M17,M$4:M$39,0),0)</f>
        <v>0</v>
      </c>
      <c r="U17" s="43" t="n">
        <f aca="false">IF($F$3=TRUE(),RANK(F17,F$4:F$39,1),0)</f>
        <v>5</v>
      </c>
      <c r="V17" s="43" t="n">
        <f aca="false">IF($G$3=TRUE(),RANK(G17,G$4:G$39,0),0)</f>
        <v>35</v>
      </c>
      <c r="W17" s="43" t="n">
        <f aca="false">IF($H$3=TRUE(),RANK(H17,H$4:H$39,1),0)</f>
        <v>9</v>
      </c>
      <c r="X17" s="0" t="n">
        <v>26</v>
      </c>
      <c r="Y17" s="43" t="n">
        <f aca="false">IF(C$3=TRUE(),C$2*(COUNTA($A$4:$A$39)-P17+1),0)</f>
        <v>0</v>
      </c>
      <c r="Z17" s="43" t="n">
        <f aca="false">IF(D$3=TRUE(),D$2*(COUNTA($A$4:$A$39)-Q17+1),0)</f>
        <v>20</v>
      </c>
      <c r="AA17" s="43" t="n">
        <f aca="false">IF(E$3=TRUE(),E$2*(COUNTA($A$4:$A$39)-R17+1),0)</f>
        <v>144</v>
      </c>
      <c r="AB17" s="43" t="n">
        <f aca="false">IF(L$3=TRUE(),L$2*(COUNTA($A$4:$A$39)-S17+1),0)</f>
        <v>0</v>
      </c>
      <c r="AC17" s="43" t="n">
        <f aca="false">IF(M$3=TRUE(),M$2*(COUNTA($A$4:$A$39)-T17+1),0)</f>
        <v>0</v>
      </c>
      <c r="AD17" s="43" t="n">
        <f aca="false">IF(F$3=TRUE(),F$2*(COUNTA($A$4:$A$39)-U17+1),0)</f>
        <v>160</v>
      </c>
      <c r="AE17" s="43" t="n">
        <f aca="false">IF(G$3=TRUE(),G$2*(COUNTA($A$4:$A$39)-V17+1),0)</f>
        <v>6</v>
      </c>
      <c r="AF17" s="43" t="n">
        <f aca="false">IF(H$3=TRUE(),H$2*(COUNTA($A$4:$A$39)-W17+1),0)</f>
        <v>56</v>
      </c>
      <c r="AG17" s="43" t="n">
        <f aca="false">IF(J$3=TRUE(),J$2*(COUNTA($A$4:$A$39)-X17+1),0)</f>
        <v>44</v>
      </c>
      <c r="AH17" s="43" t="n">
        <f aca="false">IF(I17=TRUE(),0,SUM(Y17:AG17))</f>
        <v>430</v>
      </c>
    </row>
    <row r="18" customFormat="false" ht="17.25" hidden="false" customHeight="true" outlineLevel="0" collapsed="false">
      <c r="A18" s="35" t="s">
        <v>76</v>
      </c>
      <c r="B18" s="36" t="n">
        <f aca="false">RANK(AH18,$AH$4:$AH$39)</f>
        <v>13</v>
      </c>
      <c r="C18" s="35" t="n">
        <v>174.7</v>
      </c>
      <c r="D18" s="35" t="n">
        <v>42</v>
      </c>
      <c r="E18" s="35" t="n">
        <v>30</v>
      </c>
      <c r="F18" s="37" t="n">
        <f aca="false">M18/C18</f>
        <v>1.71722953634803</v>
      </c>
      <c r="G18" s="38" t="n">
        <v>2690</v>
      </c>
      <c r="H18" s="35" t="n">
        <v>168</v>
      </c>
      <c r="I18" s="39" t="b">
        <f aca="false">FALSE()</f>
        <v>0</v>
      </c>
      <c r="J18" s="35" t="s">
        <v>53</v>
      </c>
      <c r="K18" s="40" t="s">
        <v>77</v>
      </c>
      <c r="L18" s="35" t="n">
        <v>3.9</v>
      </c>
      <c r="M18" s="35" t="n">
        <v>300</v>
      </c>
      <c r="N18" s="35" t="s">
        <v>78</v>
      </c>
      <c r="O18" s="41" t="s">
        <v>79</v>
      </c>
      <c r="P18" s="42" t="n">
        <f aca="false">IF(C$3=TRUE(),RANK(C18,C$4:C$39,0),0)</f>
        <v>0</v>
      </c>
      <c r="Q18" s="43" t="n">
        <f aca="false">IF(D$3=TRUE(),RANK(D18,D$4:D$39,0),0)</f>
        <v>29</v>
      </c>
      <c r="R18" s="43" t="n">
        <f aca="false">IF(E$3=TRUE(),RANK(E18,E$4:E$39,0),0)</f>
        <v>7</v>
      </c>
      <c r="S18" s="43" t="n">
        <f aca="false">IF(L$3=TRUE(),RANK(L18,L$4:L$39,0),0)</f>
        <v>0</v>
      </c>
      <c r="T18" s="43" t="n">
        <f aca="false">IF(M$3=TRUE(),RANK(M18,M$4:M$39,0),0)</f>
        <v>0</v>
      </c>
      <c r="U18" s="43" t="n">
        <f aca="false">IF($F$3=TRUE(),RANK(F18,F$4:F$39,1),0)</f>
        <v>1</v>
      </c>
      <c r="V18" s="43" t="n">
        <f aca="false">IF($G$3=TRUE(),RANK(G18,G$4:G$39,0),0)</f>
        <v>30</v>
      </c>
      <c r="W18" s="43" t="n">
        <f aca="false">IF($H$3=TRUE(),RANK(H18,H$4:H$39,1),0)</f>
        <v>35</v>
      </c>
      <c r="X18" s="0" t="n">
        <v>17</v>
      </c>
      <c r="Y18" s="43" t="n">
        <f aca="false">IF(C$3=TRUE(),C$2*(COUNTA($A$4:$A$39)-P18+1),0)</f>
        <v>0</v>
      </c>
      <c r="Z18" s="43" t="n">
        <f aca="false">IF(D$3=TRUE(),D$2*(COUNTA($A$4:$A$39)-Q18+1),0)</f>
        <v>40</v>
      </c>
      <c r="AA18" s="43" t="n">
        <f aca="false">IF(E$3=TRUE(),E$2*(COUNTA($A$4:$A$39)-R18+1),0)</f>
        <v>120</v>
      </c>
      <c r="AB18" s="43" t="n">
        <f aca="false">IF(L$3=TRUE(),L$2*(COUNTA($A$4:$A$39)-S18+1),0)</f>
        <v>0</v>
      </c>
      <c r="AC18" s="43" t="n">
        <f aca="false">IF(M$3=TRUE(),M$2*(COUNTA($A$4:$A$39)-T18+1),0)</f>
        <v>0</v>
      </c>
      <c r="AD18" s="43" t="n">
        <f aca="false">IF(F$3=TRUE(),F$2*(COUNTA($A$4:$A$39)-U18+1),0)</f>
        <v>180</v>
      </c>
      <c r="AE18" s="43" t="n">
        <f aca="false">IF(G$3=TRUE(),G$2*(COUNTA($A$4:$A$39)-V18+1),0)</f>
        <v>21</v>
      </c>
      <c r="AF18" s="43" t="n">
        <f aca="false">IF(H$3=TRUE(),H$2*(COUNTA($A$4:$A$39)-W18+1),0)</f>
        <v>4</v>
      </c>
      <c r="AG18" s="43" t="n">
        <f aca="false">IF(J$3=TRUE(),J$2*(COUNTA($A$4:$A$39)-X18+1),0)</f>
        <v>80</v>
      </c>
      <c r="AH18" s="43" t="n">
        <f aca="false">IF(I18=TRUE(),0,SUM(Y18:AG18))</f>
        <v>445</v>
      </c>
    </row>
    <row r="19" customFormat="false" ht="17.25" hidden="false" customHeight="true" outlineLevel="0" collapsed="false">
      <c r="A19" s="35" t="s">
        <v>80</v>
      </c>
      <c r="B19" s="36" t="n">
        <f aca="false">RANK(AH19,$AH$4:$AH$39)</f>
        <v>19</v>
      </c>
      <c r="C19" s="35" t="n">
        <v>71.8</v>
      </c>
      <c r="D19" s="35" t="n">
        <v>52</v>
      </c>
      <c r="E19" s="35" t="n">
        <v>27</v>
      </c>
      <c r="F19" s="37" t="n">
        <f aca="false">M19/C19</f>
        <v>431.754874651811</v>
      </c>
      <c r="G19" s="38" t="n">
        <v>7345</v>
      </c>
      <c r="H19" s="35" t="n">
        <v>21</v>
      </c>
      <c r="I19" s="39" t="b">
        <f aca="false">FALSE()</f>
        <v>0</v>
      </c>
      <c r="J19" s="35" t="s">
        <v>30</v>
      </c>
      <c r="K19" s="40"/>
      <c r="L19" s="35" t="n">
        <v>2.3</v>
      </c>
      <c r="M19" s="38" t="n">
        <v>31000</v>
      </c>
      <c r="N19" s="35" t="s">
        <v>81</v>
      </c>
      <c r="O19" s="41" t="s">
        <v>82</v>
      </c>
      <c r="P19" s="42" t="n">
        <f aca="false">IF(C$3=TRUE(),RANK(C19,C$4:C$39,0),0)</f>
        <v>0</v>
      </c>
      <c r="Q19" s="43" t="n">
        <f aca="false">IF(D$3=TRUE(),RANK(D19,D$4:D$39,0),0)</f>
        <v>25</v>
      </c>
      <c r="R19" s="43" t="n">
        <f aca="false">IF(E$3=TRUE(),RANK(E19,E$4:E$39,0),0)</f>
        <v>23</v>
      </c>
      <c r="S19" s="43" t="n">
        <f aca="false">IF(L$3=TRUE(),RANK(L19,L$4:L$39,0),0)</f>
        <v>0</v>
      </c>
      <c r="T19" s="43" t="n">
        <f aca="false">IF(M$3=TRUE(),RANK(M19,M$4:M$39,0),0)</f>
        <v>0</v>
      </c>
      <c r="U19" s="43" t="n">
        <f aca="false">IF($F$3=TRUE(),RANK(F19,F$4:F$39,1),0)</f>
        <v>35</v>
      </c>
      <c r="V19" s="43" t="n">
        <f aca="false">IF($G$3=TRUE(),RANK(G19,G$4:G$39,0),0)</f>
        <v>12</v>
      </c>
      <c r="W19" s="43" t="n">
        <f aca="false">IF($H$3=TRUE(),RANK(H19,H$4:H$39,1),0)</f>
        <v>5</v>
      </c>
      <c r="X19" s="0" t="n">
        <v>1</v>
      </c>
      <c r="Y19" s="43" t="n">
        <f aca="false">IF(C$3=TRUE(),C$2*(COUNTA($A$4:$A$39)-P19+1),0)</f>
        <v>0</v>
      </c>
      <c r="Z19" s="43" t="n">
        <f aca="false">IF(D$3=TRUE(),D$2*(COUNTA($A$4:$A$39)-Q19+1),0)</f>
        <v>60</v>
      </c>
      <c r="AA19" s="43" t="n">
        <f aca="false">IF(E$3=TRUE(),E$2*(COUNTA($A$4:$A$39)-R19+1),0)</f>
        <v>56</v>
      </c>
      <c r="AB19" s="43" t="n">
        <f aca="false">IF(L$3=TRUE(),L$2*(COUNTA($A$4:$A$39)-S19+1),0)</f>
        <v>0</v>
      </c>
      <c r="AC19" s="43" t="n">
        <f aca="false">IF(M$3=TRUE(),M$2*(COUNTA($A$4:$A$39)-T19+1),0)</f>
        <v>0</v>
      </c>
      <c r="AD19" s="43" t="n">
        <f aca="false">IF(F$3=TRUE(),F$2*(COUNTA($A$4:$A$39)-U19+1),0)</f>
        <v>10</v>
      </c>
      <c r="AE19" s="43" t="n">
        <f aca="false">IF(G$3=TRUE(),G$2*(COUNTA($A$4:$A$39)-V19+1),0)</f>
        <v>75</v>
      </c>
      <c r="AF19" s="43" t="n">
        <f aca="false">IF(H$3=TRUE(),H$2*(COUNTA($A$4:$A$39)-W19+1),0)</f>
        <v>64</v>
      </c>
      <c r="AG19" s="43" t="n">
        <f aca="false">IF(J$3=TRUE(),J$2*(COUNTA($A$4:$A$39)-X19+1),0)</f>
        <v>144</v>
      </c>
      <c r="AH19" s="43" t="n">
        <f aca="false">IF(I19=TRUE(),0,SUM(Y19:AG19))</f>
        <v>409</v>
      </c>
    </row>
    <row r="20" customFormat="false" ht="17.25" hidden="false" customHeight="true" outlineLevel="0" collapsed="false">
      <c r="A20" s="35" t="s">
        <v>83</v>
      </c>
      <c r="B20" s="36" t="n">
        <f aca="false">RANK(AH20,$AH$4:$AH$39)</f>
        <v>14</v>
      </c>
      <c r="C20" s="35" t="n">
        <v>45.5</v>
      </c>
      <c r="D20" s="35" t="n">
        <v>73</v>
      </c>
      <c r="E20" s="35" t="n">
        <v>29</v>
      </c>
      <c r="F20" s="37" t="n">
        <f aca="false">M20/C20</f>
        <v>6.59340659340659</v>
      </c>
      <c r="G20" s="38" t="n">
        <v>4300</v>
      </c>
      <c r="H20" s="35" t="n">
        <v>157</v>
      </c>
      <c r="I20" s="39" t="b">
        <f aca="false">FALSE()</f>
        <v>0</v>
      </c>
      <c r="J20" s="44" t="s">
        <v>72</v>
      </c>
      <c r="K20" s="40" t="s">
        <v>84</v>
      </c>
      <c r="L20" s="35" t="n">
        <v>2.5</v>
      </c>
      <c r="M20" s="35" t="n">
        <v>300</v>
      </c>
      <c r="N20" s="35" t="s">
        <v>85</v>
      </c>
      <c r="O20" s="41" t="s">
        <v>86</v>
      </c>
      <c r="P20" s="42" t="n">
        <f aca="false">IF(C$3=TRUE(),RANK(C20,C$4:C$39,0),0)</f>
        <v>0</v>
      </c>
      <c r="Q20" s="43" t="n">
        <f aca="false">IF(D$3=TRUE(),RANK(D20,D$4:D$39,0),0)</f>
        <v>19</v>
      </c>
      <c r="R20" s="43" t="n">
        <f aca="false">IF(E$3=TRUE(),RANK(E20,E$4:E$39,0),0)</f>
        <v>14</v>
      </c>
      <c r="S20" s="43" t="n">
        <f aca="false">IF(L$3=TRUE(),RANK(L20,L$4:L$39,0),0)</f>
        <v>0</v>
      </c>
      <c r="T20" s="43" t="n">
        <f aca="false">IF(M$3=TRUE(),RANK(M20,M$4:M$39,0),0)</f>
        <v>0</v>
      </c>
      <c r="U20" s="43" t="n">
        <f aca="false">IF($F$3=TRUE(),RANK(F20,F$4:F$39,1),0)</f>
        <v>7</v>
      </c>
      <c r="V20" s="43" t="n">
        <f aca="false">IF($G$3=TRUE(),RANK(G20,G$4:G$39,0),0)</f>
        <v>19</v>
      </c>
      <c r="W20" s="43" t="n">
        <f aca="false">IF($H$3=TRUE(),RANK(H20,H$4:H$39,1),0)</f>
        <v>34</v>
      </c>
      <c r="X20" s="0" t="n">
        <v>26</v>
      </c>
      <c r="Y20" s="43" t="n">
        <f aca="false">IF(C$3=TRUE(),C$2*(COUNTA($A$4:$A$39)-P20+1),0)</f>
        <v>0</v>
      </c>
      <c r="Z20" s="43" t="n">
        <f aca="false">IF(D$3=TRUE(),D$2*(COUNTA($A$4:$A$39)-Q20+1),0)</f>
        <v>90</v>
      </c>
      <c r="AA20" s="43" t="n">
        <f aca="false">IF(E$3=TRUE(),E$2*(COUNTA($A$4:$A$39)-R20+1),0)</f>
        <v>92</v>
      </c>
      <c r="AB20" s="43" t="n">
        <f aca="false">IF(L$3=TRUE(),L$2*(COUNTA($A$4:$A$39)-S20+1),0)</f>
        <v>0</v>
      </c>
      <c r="AC20" s="43" t="n">
        <f aca="false">IF(M$3=TRUE(),M$2*(COUNTA($A$4:$A$39)-T20+1),0)</f>
        <v>0</v>
      </c>
      <c r="AD20" s="43" t="n">
        <f aca="false">IF(F$3=TRUE(),F$2*(COUNTA($A$4:$A$39)-U20+1),0)</f>
        <v>150</v>
      </c>
      <c r="AE20" s="43" t="n">
        <f aca="false">IF(G$3=TRUE(),G$2*(COUNTA($A$4:$A$39)-V20+1),0)</f>
        <v>54</v>
      </c>
      <c r="AF20" s="43" t="n">
        <f aca="false">IF(H$3=TRUE(),H$2*(COUNTA($A$4:$A$39)-W20+1),0)</f>
        <v>6</v>
      </c>
      <c r="AG20" s="43" t="n">
        <f aca="false">IF(J$3=TRUE(),J$2*(COUNTA($A$4:$A$39)-X20+1),0)</f>
        <v>44</v>
      </c>
      <c r="AH20" s="43" t="n">
        <f aca="false">IF(I20=TRUE(),0,SUM(Y20:AG20))</f>
        <v>436</v>
      </c>
    </row>
    <row r="21" customFormat="false" ht="17.25" hidden="false" customHeight="true" outlineLevel="0" collapsed="false">
      <c r="A21" s="35" t="s">
        <v>87</v>
      </c>
      <c r="B21" s="36" t="n">
        <f aca="false">RANK(AH21,$AH$4:$AH$39)</f>
        <v>18</v>
      </c>
      <c r="C21" s="35" t="n">
        <v>52</v>
      </c>
      <c r="D21" s="35" t="n">
        <v>81</v>
      </c>
      <c r="E21" s="35" t="n">
        <v>28</v>
      </c>
      <c r="F21" s="37" t="n">
        <f aca="false">M21/C21</f>
        <v>14.4230769230769</v>
      </c>
      <c r="G21" s="38" t="n">
        <v>7000</v>
      </c>
      <c r="H21" s="35" t="n">
        <v>67</v>
      </c>
      <c r="I21" s="39" t="b">
        <f aca="false">FALSE()</f>
        <v>0</v>
      </c>
      <c r="J21" s="35" t="s">
        <v>72</v>
      </c>
      <c r="K21" s="40" t="s">
        <v>88</v>
      </c>
      <c r="L21" s="35" t="n">
        <v>2.75</v>
      </c>
      <c r="M21" s="35" t="n">
        <v>750</v>
      </c>
      <c r="N21" s="35" t="s">
        <v>89</v>
      </c>
      <c r="O21" s="41" t="s">
        <v>90</v>
      </c>
      <c r="P21" s="42" t="n">
        <f aca="false">IF(C$3=TRUE(),RANK(C21,C$4:C$39,0),0)</f>
        <v>0</v>
      </c>
      <c r="Q21" s="43" t="n">
        <f aca="false">IF(D$3=TRUE(),RANK(D21,D$4:D$39,0),0)</f>
        <v>14</v>
      </c>
      <c r="R21" s="43" t="n">
        <f aca="false">IF(E$3=TRUE(),RANK(E21,E$4:E$39,0),0)</f>
        <v>19</v>
      </c>
      <c r="S21" s="43" t="n">
        <f aca="false">IF(L$3=TRUE(),RANK(L21,L$4:L$39,0),0)</f>
        <v>0</v>
      </c>
      <c r="T21" s="43" t="n">
        <f aca="false">IF(M$3=TRUE(),RANK(M21,M$4:M$39,0),0)</f>
        <v>0</v>
      </c>
      <c r="U21" s="43" t="n">
        <f aca="false">IF($F$3=TRUE(),RANK(F21,F$4:F$39,1),0)</f>
        <v>21</v>
      </c>
      <c r="V21" s="43" t="n">
        <f aca="false">IF($G$3=TRUE(),RANK(G21,G$4:G$39,0),0)</f>
        <v>14</v>
      </c>
      <c r="W21" s="43" t="n">
        <f aca="false">IF($H$3=TRUE(),RANK(H21,H$4:H$39,1),0)</f>
        <v>19</v>
      </c>
      <c r="X21" s="0" t="n">
        <v>26</v>
      </c>
      <c r="Y21" s="43" t="n">
        <f aca="false">IF(C$3=TRUE(),C$2*(COUNTA($A$4:$A$39)-P21+1),0)</f>
        <v>0</v>
      </c>
      <c r="Z21" s="43" t="n">
        <f aca="false">IF(D$3=TRUE(),D$2*(COUNTA($A$4:$A$39)-Q21+1),0)</f>
        <v>115</v>
      </c>
      <c r="AA21" s="43" t="n">
        <f aca="false">IF(E$3=TRUE(),E$2*(COUNTA($A$4:$A$39)-R21+1),0)</f>
        <v>72</v>
      </c>
      <c r="AB21" s="43" t="n">
        <f aca="false">IF(L$3=TRUE(),L$2*(COUNTA($A$4:$A$39)-S21+1),0)</f>
        <v>0</v>
      </c>
      <c r="AC21" s="43" t="n">
        <f aca="false">IF(M$3=TRUE(),M$2*(COUNTA($A$4:$A$39)-T21+1),0)</f>
        <v>0</v>
      </c>
      <c r="AD21" s="43" t="n">
        <f aca="false">IF(F$3=TRUE(),F$2*(COUNTA($A$4:$A$39)-U21+1),0)</f>
        <v>80</v>
      </c>
      <c r="AE21" s="43" t="n">
        <f aca="false">IF(G$3=TRUE(),G$2*(COUNTA($A$4:$A$39)-V21+1),0)</f>
        <v>69</v>
      </c>
      <c r="AF21" s="43" t="n">
        <f aca="false">IF(H$3=TRUE(),H$2*(COUNTA($A$4:$A$39)-W21+1),0)</f>
        <v>36</v>
      </c>
      <c r="AG21" s="43" t="n">
        <f aca="false">IF(J$3=TRUE(),J$2*(COUNTA($A$4:$A$39)-X21+1),0)</f>
        <v>44</v>
      </c>
      <c r="AH21" s="43" t="n">
        <f aca="false">IF(I21=TRUE(),0,SUM(Y21:AG21))</f>
        <v>416</v>
      </c>
    </row>
    <row r="22" customFormat="false" ht="17.25" hidden="false" customHeight="true" outlineLevel="0" collapsed="false">
      <c r="A22" s="35" t="s">
        <v>91</v>
      </c>
      <c r="B22" s="36" t="n">
        <f aca="false">RANK(AH22,$AH$4:$AH$39)</f>
        <v>17</v>
      </c>
      <c r="C22" s="35" t="n">
        <v>45.8</v>
      </c>
      <c r="D22" s="35" t="n">
        <v>92</v>
      </c>
      <c r="E22" s="35" t="n">
        <v>25</v>
      </c>
      <c r="F22" s="37" t="n">
        <f aca="false">M22/C22</f>
        <v>13.1004366812227</v>
      </c>
      <c r="G22" s="38" t="n">
        <v>13000</v>
      </c>
      <c r="H22" s="35" t="n">
        <v>126</v>
      </c>
      <c r="I22" s="39" t="b">
        <f aca="false">FALSE()</f>
        <v>0</v>
      </c>
      <c r="J22" s="35" t="s">
        <v>72</v>
      </c>
      <c r="K22" s="40" t="s">
        <v>92</v>
      </c>
      <c r="L22" s="35" t="n">
        <v>3</v>
      </c>
      <c r="M22" s="35" t="n">
        <v>600</v>
      </c>
      <c r="N22" s="35" t="s">
        <v>62</v>
      </c>
      <c r="O22" s="41" t="s">
        <v>93</v>
      </c>
      <c r="P22" s="42" t="n">
        <f aca="false">IF(C$3=TRUE(),RANK(C22,C$4:C$39,0),0)</f>
        <v>0</v>
      </c>
      <c r="Q22" s="43" t="n">
        <f aca="false">IF(D$3=TRUE(),RANK(D22,D$4:D$39,0),0)</f>
        <v>8</v>
      </c>
      <c r="R22" s="43" t="n">
        <f aca="false">IF(E$3=TRUE(),RANK(E22,E$4:E$39,0),0)</f>
        <v>30</v>
      </c>
      <c r="S22" s="43" t="n">
        <f aca="false">IF(L$3=TRUE(),RANK(L22,L$4:L$39,0),0)</f>
        <v>0</v>
      </c>
      <c r="T22" s="43" t="n">
        <f aca="false">IF(M$3=TRUE(),RANK(M22,M$4:M$39,0),0)</f>
        <v>0</v>
      </c>
      <c r="U22" s="43" t="n">
        <f aca="false">IF($F$3=TRUE(),RANK(F22,F$4:F$39,1),0)</f>
        <v>16</v>
      </c>
      <c r="V22" s="43" t="n">
        <f aca="false">IF($G$3=TRUE(),RANK(G22,G$4:G$39,0),0)</f>
        <v>8</v>
      </c>
      <c r="W22" s="43" t="n">
        <f aca="false">IF($H$3=TRUE(),RANK(H22,H$4:H$39,1),0)</f>
        <v>31</v>
      </c>
      <c r="X22" s="0" t="n">
        <v>26</v>
      </c>
      <c r="Y22" s="43" t="n">
        <f aca="false">IF(C$3=TRUE(),C$2*(COUNTA($A$4:$A$39)-P22+1),0)</f>
        <v>0</v>
      </c>
      <c r="Z22" s="43" t="n">
        <f aca="false">IF(D$3=TRUE(),D$2*(COUNTA($A$4:$A$39)-Q22+1),0)</f>
        <v>145</v>
      </c>
      <c r="AA22" s="43" t="n">
        <f aca="false">IF(E$3=TRUE(),E$2*(COUNTA($A$4:$A$39)-R22+1),0)</f>
        <v>28</v>
      </c>
      <c r="AB22" s="43" t="n">
        <f aca="false">IF(L$3=TRUE(),L$2*(COUNTA($A$4:$A$39)-S22+1),0)</f>
        <v>0</v>
      </c>
      <c r="AC22" s="43" t="n">
        <f aca="false">IF(M$3=TRUE(),M$2*(COUNTA($A$4:$A$39)-T22+1),0)</f>
        <v>0</v>
      </c>
      <c r="AD22" s="43" t="n">
        <f aca="false">IF(F$3=TRUE(),F$2*(COUNTA($A$4:$A$39)-U22+1),0)</f>
        <v>105</v>
      </c>
      <c r="AE22" s="43" t="n">
        <f aca="false">IF(G$3=TRUE(),G$2*(COUNTA($A$4:$A$39)-V22+1),0)</f>
        <v>87</v>
      </c>
      <c r="AF22" s="43" t="n">
        <f aca="false">IF(H$3=TRUE(),H$2*(COUNTA($A$4:$A$39)-W22+1),0)</f>
        <v>12</v>
      </c>
      <c r="AG22" s="43" t="n">
        <f aca="false">IF(J$3=TRUE(),J$2*(COUNTA($A$4:$A$39)-X22+1),0)</f>
        <v>44</v>
      </c>
      <c r="AH22" s="43" t="n">
        <f aca="false">IF(I22=TRUE(),0,SUM(Y22:AG22))</f>
        <v>421</v>
      </c>
    </row>
    <row r="23" customFormat="false" ht="17.25" hidden="false" customHeight="true" outlineLevel="0" collapsed="false">
      <c r="A23" s="35" t="s">
        <v>94</v>
      </c>
      <c r="B23" s="36" t="n">
        <f aca="false">RANK(AH23,$AH$4:$AH$39)</f>
        <v>23</v>
      </c>
      <c r="C23" s="35" t="n">
        <v>19.5</v>
      </c>
      <c r="D23" s="35" t="n">
        <v>88</v>
      </c>
      <c r="E23" s="35" t="n">
        <v>24</v>
      </c>
      <c r="F23" s="37" t="n">
        <f aca="false">M23/C23</f>
        <v>15.3846153846154</v>
      </c>
      <c r="G23" s="38" t="n">
        <v>17000</v>
      </c>
      <c r="H23" s="35" t="n">
        <v>59</v>
      </c>
      <c r="I23" s="39" t="b">
        <f aca="false">FALSE()</f>
        <v>0</v>
      </c>
      <c r="J23" s="35" t="s">
        <v>72</v>
      </c>
      <c r="K23" s="40" t="s">
        <v>95</v>
      </c>
      <c r="L23" s="35" t="n">
        <v>4</v>
      </c>
      <c r="M23" s="35" t="n">
        <v>300</v>
      </c>
      <c r="N23" s="35" t="s">
        <v>96</v>
      </c>
      <c r="O23" s="41" t="s">
        <v>97</v>
      </c>
      <c r="P23" s="42" t="n">
        <f aca="false">IF(C$3=TRUE(),RANK(C23,C$4:C$39,0),0)</f>
        <v>0</v>
      </c>
      <c r="Q23" s="43" t="n">
        <f aca="false">IF(D$3=TRUE(),RANK(D23,D$4:D$39,0),0)</f>
        <v>11</v>
      </c>
      <c r="R23" s="43" t="n">
        <f aca="false">IF(E$3=TRUE(),RANK(E23,E$4:E$39,0),0)</f>
        <v>33</v>
      </c>
      <c r="S23" s="43" t="n">
        <f aca="false">IF(L$3=TRUE(),RANK(L23,L$4:L$39,0),0)</f>
        <v>0</v>
      </c>
      <c r="T23" s="43" t="n">
        <f aca="false">IF(M$3=TRUE(),RANK(M23,M$4:M$39,0),0)</f>
        <v>0</v>
      </c>
      <c r="U23" s="43" t="n">
        <f aca="false">IF($F$3=TRUE(),RANK(F23,F$4:F$39,1),0)</f>
        <v>25</v>
      </c>
      <c r="V23" s="43" t="n">
        <f aca="false">IF($G$3=TRUE(),RANK(G23,G$4:G$39,0),0)</f>
        <v>6</v>
      </c>
      <c r="W23" s="43" t="n">
        <f aca="false">IF($H$3=TRUE(),RANK(H23,H$4:H$39,1),0)</f>
        <v>12</v>
      </c>
      <c r="X23" s="0" t="n">
        <v>26</v>
      </c>
      <c r="Y23" s="43" t="n">
        <f aca="false">IF(C$3=TRUE(),C$2*(COUNTA($A$4:$A$39)-P23+1),0)</f>
        <v>0</v>
      </c>
      <c r="Z23" s="43" t="n">
        <f aca="false">IF(D$3=TRUE(),D$2*(COUNTA($A$4:$A$39)-Q23+1),0)</f>
        <v>130</v>
      </c>
      <c r="AA23" s="43" t="n">
        <f aca="false">IF(E$3=TRUE(),E$2*(COUNTA($A$4:$A$39)-R23+1),0)</f>
        <v>16</v>
      </c>
      <c r="AB23" s="43" t="n">
        <f aca="false">IF(L$3=TRUE(),L$2*(COUNTA($A$4:$A$39)-S23+1),0)</f>
        <v>0</v>
      </c>
      <c r="AC23" s="43" t="n">
        <f aca="false">IF(M$3=TRUE(),M$2*(COUNTA($A$4:$A$39)-T23+1),0)</f>
        <v>0</v>
      </c>
      <c r="AD23" s="43" t="n">
        <f aca="false">IF(F$3=TRUE(),F$2*(COUNTA($A$4:$A$39)-U23+1),0)</f>
        <v>60</v>
      </c>
      <c r="AE23" s="43" t="n">
        <f aca="false">IF(G$3=TRUE(),G$2*(COUNTA($A$4:$A$39)-V23+1),0)</f>
        <v>93</v>
      </c>
      <c r="AF23" s="43" t="n">
        <f aca="false">IF(H$3=TRUE(),H$2*(COUNTA($A$4:$A$39)-W23+1),0)</f>
        <v>50</v>
      </c>
      <c r="AG23" s="43" t="n">
        <f aca="false">IF(J$3=TRUE(),J$2*(COUNTA($A$4:$A$39)-X23+1),0)</f>
        <v>44</v>
      </c>
      <c r="AH23" s="43" t="n">
        <f aca="false">IF(I23=TRUE(),0,SUM(Y23:AG23))</f>
        <v>393</v>
      </c>
    </row>
    <row r="24" customFormat="false" ht="17.25" hidden="false" customHeight="true" outlineLevel="0" collapsed="false">
      <c r="A24" s="35" t="s">
        <v>98</v>
      </c>
      <c r="B24" s="36" t="n">
        <f aca="false">RANK(AH24,$AH$4:$AH$39)</f>
        <v>20</v>
      </c>
      <c r="C24" s="35" t="n">
        <v>111</v>
      </c>
      <c r="D24" s="35" t="n">
        <v>43</v>
      </c>
      <c r="E24" s="35" t="n">
        <v>28</v>
      </c>
      <c r="F24" s="37" t="n">
        <f aca="false">M24/C24</f>
        <v>6.75675675675676</v>
      </c>
      <c r="G24" s="38" t="n">
        <v>3600</v>
      </c>
      <c r="H24" s="35" t="n">
        <v>114</v>
      </c>
      <c r="I24" s="39" t="b">
        <f aca="false">FALSE()</f>
        <v>0</v>
      </c>
      <c r="J24" s="35" t="s">
        <v>53</v>
      </c>
      <c r="K24" s="40" t="s">
        <v>99</v>
      </c>
      <c r="L24" s="35" t="n">
        <v>2.25</v>
      </c>
      <c r="M24" s="35" t="n">
        <v>750</v>
      </c>
      <c r="N24" s="35" t="s">
        <v>100</v>
      </c>
      <c r="O24" s="41" t="s">
        <v>101</v>
      </c>
      <c r="P24" s="42" t="n">
        <f aca="false">IF(C$3=TRUE(),RANK(C24,C$4:C$39,0),0)</f>
        <v>0</v>
      </c>
      <c r="Q24" s="43" t="n">
        <f aca="false">IF(D$3=TRUE(),RANK(D24,D$4:D$39,0),0)</f>
        <v>28</v>
      </c>
      <c r="R24" s="43" t="n">
        <f aca="false">IF(E$3=TRUE(),RANK(E24,E$4:E$39,0),0)</f>
        <v>19</v>
      </c>
      <c r="S24" s="43" t="n">
        <f aca="false">IF(L$3=TRUE(),RANK(L24,L$4:L$39,0),0)</f>
        <v>0</v>
      </c>
      <c r="T24" s="43" t="n">
        <f aca="false">IF(M$3=TRUE(),RANK(M24,M$4:M$39,0),0)</f>
        <v>0</v>
      </c>
      <c r="U24" s="43" t="n">
        <f aca="false">IF($F$3=TRUE(),RANK(F24,F$4:F$39,1),0)</f>
        <v>8</v>
      </c>
      <c r="V24" s="43" t="n">
        <f aca="false">IF($G$3=TRUE(),RANK(G24,G$4:G$39,0),0)</f>
        <v>23</v>
      </c>
      <c r="W24" s="43" t="n">
        <f aca="false">IF($H$3=TRUE(),RANK(H24,H$4:H$39,1),0)</f>
        <v>29</v>
      </c>
      <c r="X24" s="0" t="n">
        <v>17</v>
      </c>
      <c r="Y24" s="43" t="n">
        <f aca="false">IF(C$3=TRUE(),C$2*(COUNTA($A$4:$A$39)-P24+1),0)</f>
        <v>0</v>
      </c>
      <c r="Z24" s="43" t="n">
        <f aca="false">IF(D$3=TRUE(),D$2*(COUNTA($A$4:$A$39)-Q24+1),0)</f>
        <v>45</v>
      </c>
      <c r="AA24" s="43" t="n">
        <f aca="false">IF(E$3=TRUE(),E$2*(COUNTA($A$4:$A$39)-R24+1),0)</f>
        <v>72</v>
      </c>
      <c r="AB24" s="43" t="n">
        <f aca="false">IF(L$3=TRUE(),L$2*(COUNTA($A$4:$A$39)-S24+1),0)</f>
        <v>0</v>
      </c>
      <c r="AC24" s="43" t="n">
        <f aca="false">IF(M$3=TRUE(),M$2*(COUNTA($A$4:$A$39)-T24+1),0)</f>
        <v>0</v>
      </c>
      <c r="AD24" s="43" t="n">
        <f aca="false">IF(F$3=TRUE(),F$2*(COUNTA($A$4:$A$39)-U24+1),0)</f>
        <v>145</v>
      </c>
      <c r="AE24" s="43" t="n">
        <f aca="false">IF(G$3=TRUE(),G$2*(COUNTA($A$4:$A$39)-V24+1),0)</f>
        <v>42</v>
      </c>
      <c r="AF24" s="43" t="n">
        <f aca="false">IF(H$3=TRUE(),H$2*(COUNTA($A$4:$A$39)-W24+1),0)</f>
        <v>16</v>
      </c>
      <c r="AG24" s="43" t="n">
        <f aca="false">IF(J$3=TRUE(),J$2*(COUNTA($A$4:$A$39)-X24+1),0)</f>
        <v>80</v>
      </c>
      <c r="AH24" s="43" t="n">
        <f aca="false">IF(I24=TRUE(),0,SUM(Y24:AG24))</f>
        <v>400</v>
      </c>
    </row>
    <row r="25" customFormat="false" ht="17.25" hidden="false" customHeight="true" outlineLevel="0" collapsed="false">
      <c r="A25" s="35" t="s">
        <v>102</v>
      </c>
      <c r="B25" s="36" t="n">
        <f aca="false">RANK(AH25,$AH$4:$AH$39)</f>
        <v>24</v>
      </c>
      <c r="C25" s="35" t="n">
        <v>0.55</v>
      </c>
      <c r="D25" s="35" t="n">
        <v>95</v>
      </c>
      <c r="E25" s="35" t="n">
        <v>24</v>
      </c>
      <c r="F25" s="37" t="n">
        <f aca="false">M25/C25</f>
        <v>109.090909090909</v>
      </c>
      <c r="G25" s="38" t="n">
        <v>35000</v>
      </c>
      <c r="H25" s="35" t="n">
        <v>88</v>
      </c>
      <c r="I25" s="39" t="b">
        <f aca="false">FALSE()</f>
        <v>0</v>
      </c>
      <c r="J25" s="35" t="s">
        <v>72</v>
      </c>
      <c r="K25" s="40" t="s">
        <v>103</v>
      </c>
      <c r="L25" s="35" t="n">
        <v>5</v>
      </c>
      <c r="M25" s="35" t="n">
        <v>60</v>
      </c>
      <c r="N25" s="35" t="s">
        <v>104</v>
      </c>
      <c r="O25" s="41" t="s">
        <v>105</v>
      </c>
      <c r="P25" s="42" t="n">
        <f aca="false">IF(C$3=TRUE(),RANK(C25,C$4:C$39,0),0)</f>
        <v>0</v>
      </c>
      <c r="Q25" s="43" t="n">
        <f aca="false">IF(D$3=TRUE(),RANK(D25,D$4:D$39,0),0)</f>
        <v>2</v>
      </c>
      <c r="R25" s="43" t="n">
        <f aca="false">IF(E$3=TRUE(),RANK(E25,E$4:E$39,0),0)</f>
        <v>33</v>
      </c>
      <c r="S25" s="43" t="n">
        <f aca="false">IF(L$3=TRUE(),RANK(L25,L$4:L$39,0),0)</f>
        <v>0</v>
      </c>
      <c r="T25" s="43" t="n">
        <f aca="false">IF(M$3=TRUE(),RANK(M25,M$4:M$39,0),0)</f>
        <v>0</v>
      </c>
      <c r="U25" s="43" t="n">
        <f aca="false">IF($F$3=TRUE(),RANK(F25,F$4:F$39,1),0)</f>
        <v>32</v>
      </c>
      <c r="V25" s="43" t="n">
        <f aca="false">IF($G$3=TRUE(),RANK(G25,G$4:G$39,0),0)</f>
        <v>2</v>
      </c>
      <c r="W25" s="43" t="n">
        <f aca="false">IF($H$3=TRUE(),RANK(H25,H$4:H$39,1),0)</f>
        <v>24</v>
      </c>
      <c r="X25" s="0" t="n">
        <v>26</v>
      </c>
      <c r="Y25" s="43" t="n">
        <f aca="false">IF(C$3=TRUE(),C$2*(COUNTA($A$4:$A$39)-P25+1),0)</f>
        <v>0</v>
      </c>
      <c r="Z25" s="43" t="n">
        <f aca="false">IF(D$3=TRUE(),D$2*(COUNTA($A$4:$A$39)-Q25+1),0)</f>
        <v>175</v>
      </c>
      <c r="AA25" s="43" t="n">
        <f aca="false">IF(E$3=TRUE(),E$2*(COUNTA($A$4:$A$39)-R25+1),0)</f>
        <v>16</v>
      </c>
      <c r="AB25" s="43" t="n">
        <f aca="false">IF(L$3=TRUE(),L$2*(COUNTA($A$4:$A$39)-S25+1),0)</f>
        <v>0</v>
      </c>
      <c r="AC25" s="43" t="n">
        <f aca="false">IF(M$3=TRUE(),M$2*(COUNTA($A$4:$A$39)-T25+1),0)</f>
        <v>0</v>
      </c>
      <c r="AD25" s="43" t="n">
        <f aca="false">IF(F$3=TRUE(),F$2*(COUNTA($A$4:$A$39)-U25+1),0)</f>
        <v>25</v>
      </c>
      <c r="AE25" s="43" t="n">
        <f aca="false">IF(G$3=TRUE(),G$2*(COUNTA($A$4:$A$39)-V25+1),0)</f>
        <v>105</v>
      </c>
      <c r="AF25" s="43" t="n">
        <f aca="false">IF(H$3=TRUE(),H$2*(COUNTA($A$4:$A$39)-W25+1),0)</f>
        <v>26</v>
      </c>
      <c r="AG25" s="43" t="n">
        <f aca="false">IF(J$3=TRUE(),J$2*(COUNTA($A$4:$A$39)-X25+1),0)</f>
        <v>44</v>
      </c>
      <c r="AH25" s="43" t="n">
        <f aca="false">IF(I25=TRUE(),0,SUM(Y25:AG25))</f>
        <v>391</v>
      </c>
    </row>
    <row r="26" customFormat="false" ht="17.25" hidden="false" customHeight="true" outlineLevel="0" collapsed="false">
      <c r="A26" s="35" t="s">
        <v>106</v>
      </c>
      <c r="B26" s="36" t="n">
        <f aca="false">RANK(AH26,$AH$4:$AH$39)</f>
        <v>25</v>
      </c>
      <c r="C26" s="35" t="n">
        <v>61</v>
      </c>
      <c r="D26" s="35" t="n">
        <v>67</v>
      </c>
      <c r="E26" s="35" t="n">
        <v>27</v>
      </c>
      <c r="F26" s="37" t="n">
        <f aca="false">M26/C26</f>
        <v>14.7540983606557</v>
      </c>
      <c r="G26" s="38" t="n">
        <v>6700</v>
      </c>
      <c r="H26" s="35" t="n">
        <v>84</v>
      </c>
      <c r="I26" s="39" t="b">
        <f aca="false">FALSE()</f>
        <v>0</v>
      </c>
      <c r="J26" s="35" t="s">
        <v>53</v>
      </c>
      <c r="K26" s="40" t="s">
        <v>107</v>
      </c>
      <c r="L26" s="35" t="n">
        <v>3.5</v>
      </c>
      <c r="M26" s="35" t="n">
        <v>900</v>
      </c>
      <c r="N26" s="35" t="s">
        <v>108</v>
      </c>
      <c r="O26" s="41" t="s">
        <v>109</v>
      </c>
      <c r="P26" s="42" t="n">
        <f aca="false">IF(C$3=TRUE(),RANK(C26,C$4:C$39,0),0)</f>
        <v>0</v>
      </c>
      <c r="Q26" s="43" t="n">
        <f aca="false">IF(D$3=TRUE(),RANK(D26,D$4:D$39,0),0)</f>
        <v>20</v>
      </c>
      <c r="R26" s="43" t="n">
        <f aca="false">IF(E$3=TRUE(),RANK(E26,E$4:E$39,0),0)</f>
        <v>23</v>
      </c>
      <c r="S26" s="43" t="n">
        <f aca="false">IF(L$3=TRUE(),RANK(L26,L$4:L$39,0),0)</f>
        <v>0</v>
      </c>
      <c r="T26" s="43" t="n">
        <f aca="false">IF(M$3=TRUE(),RANK(M26,M$4:M$39,0),0)</f>
        <v>0</v>
      </c>
      <c r="U26" s="43" t="n">
        <f aca="false">IF($F$3=TRUE(),RANK(F26,F$4:F$39,1),0)</f>
        <v>22</v>
      </c>
      <c r="V26" s="43" t="n">
        <f aca="false">IF($G$3=TRUE(),RANK(G26,G$4:G$39,0),0)</f>
        <v>15</v>
      </c>
      <c r="W26" s="43" t="n">
        <f aca="false">IF($H$3=TRUE(),RANK(H26,H$4:H$39,1),0)</f>
        <v>23</v>
      </c>
      <c r="X26" s="0" t="n">
        <v>17</v>
      </c>
      <c r="Y26" s="43" t="n">
        <f aca="false">IF(C$3=TRUE(),C$2*(COUNTA($A$4:$A$39)-P26+1),0)</f>
        <v>0</v>
      </c>
      <c r="Z26" s="43" t="n">
        <f aca="false">IF(D$3=TRUE(),D$2*(COUNTA($A$4:$A$39)-Q26+1),0)</f>
        <v>85</v>
      </c>
      <c r="AA26" s="43" t="n">
        <f aca="false">IF(E$3=TRUE(),E$2*(COUNTA($A$4:$A$39)-R26+1),0)</f>
        <v>56</v>
      </c>
      <c r="AB26" s="43" t="n">
        <f aca="false">IF(L$3=TRUE(),L$2*(COUNTA($A$4:$A$39)-S26+1),0)</f>
        <v>0</v>
      </c>
      <c r="AC26" s="43" t="n">
        <f aca="false">IF(M$3=TRUE(),M$2*(COUNTA($A$4:$A$39)-T26+1),0)</f>
        <v>0</v>
      </c>
      <c r="AD26" s="43" t="n">
        <f aca="false">IF(F$3=TRUE(),F$2*(COUNTA($A$4:$A$39)-U26+1),0)</f>
        <v>75</v>
      </c>
      <c r="AE26" s="43" t="n">
        <f aca="false">IF(G$3=TRUE(),G$2*(COUNTA($A$4:$A$39)-V26+1),0)</f>
        <v>66</v>
      </c>
      <c r="AF26" s="43" t="n">
        <f aca="false">IF(H$3=TRUE(),H$2*(COUNTA($A$4:$A$39)-W26+1),0)</f>
        <v>28</v>
      </c>
      <c r="AG26" s="43" t="n">
        <f aca="false">IF(J$3=TRUE(),J$2*(COUNTA($A$4:$A$39)-X26+1),0)</f>
        <v>80</v>
      </c>
      <c r="AH26" s="43" t="n">
        <f aca="false">IF(I26=TRUE(),0,SUM(Y26:AG26))</f>
        <v>390</v>
      </c>
    </row>
    <row r="27" customFormat="false" ht="17.25" hidden="false" customHeight="true" outlineLevel="0" collapsed="false">
      <c r="A27" s="35" t="s">
        <v>110</v>
      </c>
      <c r="B27" s="36" t="n">
        <f aca="false">RANK(AH27,$AH$4:$AH$39)</f>
        <v>21</v>
      </c>
      <c r="C27" s="35" t="n">
        <v>67</v>
      </c>
      <c r="D27" s="35" t="n">
        <v>37</v>
      </c>
      <c r="E27" s="35" t="n">
        <v>32</v>
      </c>
      <c r="F27" s="37" t="n">
        <f aca="false">M27/C27</f>
        <v>2.61194029850746</v>
      </c>
      <c r="G27" s="38" t="n">
        <v>1300</v>
      </c>
      <c r="H27" s="35" t="n">
        <v>141</v>
      </c>
      <c r="I27" s="39" t="b">
        <f aca="false">FALSE()</f>
        <v>0</v>
      </c>
      <c r="J27" s="35" t="s">
        <v>72</v>
      </c>
      <c r="K27" s="40" t="s">
        <v>111</v>
      </c>
      <c r="L27" s="35" t="n">
        <v>2.5</v>
      </c>
      <c r="M27" s="35" t="n">
        <v>175</v>
      </c>
      <c r="N27" s="35" t="s">
        <v>112</v>
      </c>
      <c r="O27" s="41" t="s">
        <v>113</v>
      </c>
      <c r="P27" s="42" t="n">
        <f aca="false">IF(C$3=TRUE(),RANK(C27,C$4:C$39,0),0)</f>
        <v>0</v>
      </c>
      <c r="Q27" s="43" t="n">
        <f aca="false">IF(D$3=TRUE(),RANK(D27,D$4:D$39,0),0)</f>
        <v>32</v>
      </c>
      <c r="R27" s="43" t="n">
        <f aca="false">IF(E$3=TRUE(),RANK(E27,E$4:E$39,0),0)</f>
        <v>2</v>
      </c>
      <c r="S27" s="43" t="n">
        <f aca="false">IF(L$3=TRUE(),RANK(L27,L$4:L$39,0),0)</f>
        <v>0</v>
      </c>
      <c r="T27" s="43" t="n">
        <f aca="false">IF(M$3=TRUE(),RANK(M27,M$4:M$39,0),0)</f>
        <v>0</v>
      </c>
      <c r="U27" s="43" t="n">
        <f aca="false">IF($F$3=TRUE(),RANK(F27,F$4:F$39,1),0)</f>
        <v>3</v>
      </c>
      <c r="V27" s="43" t="n">
        <f aca="false">IF($G$3=TRUE(),RANK(G27,G$4:G$39,0),0)</f>
        <v>34</v>
      </c>
      <c r="W27" s="43" t="n">
        <f aca="false">IF($H$3=TRUE(),RANK(H27,H$4:H$39,1),0)</f>
        <v>32</v>
      </c>
      <c r="X27" s="0" t="n">
        <v>26</v>
      </c>
      <c r="Y27" s="43" t="n">
        <f aca="false">IF(C$3=TRUE(),C$2*(COUNTA($A$4:$A$39)-P27+1),0)</f>
        <v>0</v>
      </c>
      <c r="Z27" s="43" t="n">
        <f aca="false">IF(D$3=TRUE(),D$2*(COUNTA($A$4:$A$39)-Q27+1),0)</f>
        <v>25</v>
      </c>
      <c r="AA27" s="43" t="n">
        <f aca="false">IF(E$3=TRUE(),E$2*(COUNTA($A$4:$A$39)-R27+1),0)</f>
        <v>140</v>
      </c>
      <c r="AB27" s="43" t="n">
        <f aca="false">IF(L$3=TRUE(),L$2*(COUNTA($A$4:$A$39)-S27+1),0)</f>
        <v>0</v>
      </c>
      <c r="AC27" s="43" t="n">
        <f aca="false">IF(M$3=TRUE(),M$2*(COUNTA($A$4:$A$39)-T27+1),0)</f>
        <v>0</v>
      </c>
      <c r="AD27" s="43" t="n">
        <f aca="false">IF(F$3=TRUE(),F$2*(COUNTA($A$4:$A$39)-U27+1),0)</f>
        <v>170</v>
      </c>
      <c r="AE27" s="43" t="n">
        <f aca="false">IF(G$3=TRUE(),G$2*(COUNTA($A$4:$A$39)-V27+1),0)</f>
        <v>9</v>
      </c>
      <c r="AF27" s="43" t="n">
        <f aca="false">IF(H$3=TRUE(),H$2*(COUNTA($A$4:$A$39)-W27+1),0)</f>
        <v>10</v>
      </c>
      <c r="AG27" s="43" t="n">
        <f aca="false">IF(J$3=TRUE(),J$2*(COUNTA($A$4:$A$39)-X27+1),0)</f>
        <v>44</v>
      </c>
      <c r="AH27" s="43" t="n">
        <f aca="false">IF(I27=TRUE(),0,SUM(Y27:AG27))</f>
        <v>398</v>
      </c>
    </row>
    <row r="28" customFormat="false" ht="17.25" hidden="false" customHeight="true" outlineLevel="0" collapsed="false">
      <c r="A28" s="35" t="s">
        <v>114</v>
      </c>
      <c r="B28" s="36" t="n">
        <f aca="false">RANK(AH28,$AH$4:$AH$39)</f>
        <v>25</v>
      </c>
      <c r="C28" s="35" t="n">
        <v>22</v>
      </c>
      <c r="D28" s="35" t="n">
        <v>19</v>
      </c>
      <c r="E28" s="35" t="n">
        <v>28</v>
      </c>
      <c r="F28" s="37" t="n">
        <f aca="false">M28/C28</f>
        <v>13.6363636363636</v>
      </c>
      <c r="G28" s="38" t="n">
        <v>4300</v>
      </c>
      <c r="H28" s="35" t="n">
        <v>99</v>
      </c>
      <c r="I28" s="39" t="b">
        <f aca="false">FALSE()</f>
        <v>0</v>
      </c>
      <c r="J28" s="35" t="s">
        <v>30</v>
      </c>
      <c r="K28" s="40"/>
      <c r="L28" s="35" t="n">
        <v>2.75</v>
      </c>
      <c r="M28" s="35" t="n">
        <v>300</v>
      </c>
      <c r="N28" s="35" t="s">
        <v>115</v>
      </c>
      <c r="O28" s="41" t="s">
        <v>116</v>
      </c>
      <c r="P28" s="42" t="n">
        <f aca="false">IF(C$3=TRUE(),RANK(C28,C$4:C$39,0),0)</f>
        <v>0</v>
      </c>
      <c r="Q28" s="43" t="n">
        <f aca="false">IF(D$3=TRUE(),RANK(D28,D$4:D$39,0),0)</f>
        <v>36</v>
      </c>
      <c r="R28" s="43" t="n">
        <f aca="false">IF(E$3=TRUE(),RANK(E28,E$4:E$39,0),0)</f>
        <v>19</v>
      </c>
      <c r="S28" s="43" t="n">
        <f aca="false">IF(L$3=TRUE(),RANK(L28,L$4:L$39,0),0)</f>
        <v>0</v>
      </c>
      <c r="T28" s="43" t="n">
        <f aca="false">IF(M$3=TRUE(),RANK(M28,M$4:M$39,0),0)</f>
        <v>0</v>
      </c>
      <c r="U28" s="43" t="n">
        <f aca="false">IF($F$3=TRUE(),RANK(F28,F$4:F$39,1),0)</f>
        <v>18</v>
      </c>
      <c r="V28" s="43" t="n">
        <f aca="false">IF($G$3=TRUE(),RANK(G28,G$4:G$39,0),0)</f>
        <v>19</v>
      </c>
      <c r="W28" s="43" t="n">
        <f aca="false">IF($H$3=TRUE(),RANK(H28,H$4:H$39,1),0)</f>
        <v>27</v>
      </c>
      <c r="X28" s="0" t="n">
        <v>1</v>
      </c>
      <c r="Y28" s="43" t="n">
        <f aca="false">IF(C$3=TRUE(),C$2*(COUNTA($A$4:$A$39)-P28+1),0)</f>
        <v>0</v>
      </c>
      <c r="Z28" s="43" t="n">
        <f aca="false">IF(D$3=TRUE(),D$2*(COUNTA($A$4:$A$39)-Q28+1),0)</f>
        <v>5</v>
      </c>
      <c r="AA28" s="43" t="n">
        <f aca="false">IF(E$3=TRUE(),E$2*(COUNTA($A$4:$A$39)-R28+1),0)</f>
        <v>72</v>
      </c>
      <c r="AB28" s="43" t="n">
        <f aca="false">IF(L$3=TRUE(),L$2*(COUNTA($A$4:$A$39)-S28+1),0)</f>
        <v>0</v>
      </c>
      <c r="AC28" s="43" t="n">
        <f aca="false">IF(M$3=TRUE(),M$2*(COUNTA($A$4:$A$39)-T28+1),0)</f>
        <v>0</v>
      </c>
      <c r="AD28" s="43" t="n">
        <f aca="false">IF(F$3=TRUE(),F$2*(COUNTA($A$4:$A$39)-U28+1),0)</f>
        <v>95</v>
      </c>
      <c r="AE28" s="43" t="n">
        <f aca="false">IF(G$3=TRUE(),G$2*(COUNTA($A$4:$A$39)-V28+1),0)</f>
        <v>54</v>
      </c>
      <c r="AF28" s="43" t="n">
        <f aca="false">IF(H$3=TRUE(),H$2*(COUNTA($A$4:$A$39)-W28+1),0)</f>
        <v>20</v>
      </c>
      <c r="AG28" s="43" t="n">
        <f aca="false">IF(J$3=TRUE(),J$2*(COUNTA($A$4:$A$39)-X28+1),0)</f>
        <v>144</v>
      </c>
      <c r="AH28" s="43" t="n">
        <f aca="false">IF(I28=TRUE(),0,SUM(Y28:AG28))</f>
        <v>390</v>
      </c>
    </row>
    <row r="29" customFormat="false" ht="17.25" hidden="false" customHeight="true" outlineLevel="0" collapsed="false">
      <c r="A29" s="35" t="s">
        <v>117</v>
      </c>
      <c r="B29" s="36" t="n">
        <f aca="false">RANK(AH29,$AH$4:$AH$39)</f>
        <v>22</v>
      </c>
      <c r="C29" s="35" t="n">
        <v>22</v>
      </c>
      <c r="D29" s="35" t="n">
        <v>54</v>
      </c>
      <c r="E29" s="35" t="n">
        <v>31</v>
      </c>
      <c r="F29" s="37" t="n">
        <f aca="false">M29/C29</f>
        <v>5.45454545454545</v>
      </c>
      <c r="G29" s="38" t="n">
        <v>847.4</v>
      </c>
      <c r="H29" s="35" t="n">
        <v>176</v>
      </c>
      <c r="I29" s="39" t="b">
        <f aca="false">FALSE()</f>
        <v>0</v>
      </c>
      <c r="J29" s="35" t="s">
        <v>72</v>
      </c>
      <c r="K29" s="40" t="s">
        <v>118</v>
      </c>
      <c r="L29" s="35" t="n">
        <v>2</v>
      </c>
      <c r="M29" s="35" t="n">
        <v>120</v>
      </c>
      <c r="N29" s="35" t="s">
        <v>119</v>
      </c>
      <c r="O29" s="41" t="s">
        <v>120</v>
      </c>
      <c r="P29" s="42" t="n">
        <f aca="false">IF(C$3=TRUE(),RANK(C29,C$4:C$39,0),0)</f>
        <v>0</v>
      </c>
      <c r="Q29" s="43" t="n">
        <f aca="false">IF(D$3=TRUE(),RANK(D29,D$4:D$39,0),0)</f>
        <v>24</v>
      </c>
      <c r="R29" s="43" t="n">
        <f aca="false">IF(E$3=TRUE(),RANK(E29,E$4:E$39,0),0)</f>
        <v>5</v>
      </c>
      <c r="S29" s="43" t="n">
        <f aca="false">IF(L$3=TRUE(),RANK(L29,L$4:L$39,0),0)</f>
        <v>0</v>
      </c>
      <c r="T29" s="43" t="n">
        <f aca="false">IF(M$3=TRUE(),RANK(M29,M$4:M$39,0),0)</f>
        <v>0</v>
      </c>
      <c r="U29" s="43" t="n">
        <f aca="false">IF($F$3=TRUE(),RANK(F29,F$4:F$39,1),0)</f>
        <v>6</v>
      </c>
      <c r="V29" s="43" t="n">
        <f aca="false">IF($G$3=TRUE(),RANK(G29,G$4:G$39,0),0)</f>
        <v>36</v>
      </c>
      <c r="W29" s="43" t="n">
        <f aca="false">IF($H$3=TRUE(),RANK(H29,H$4:H$39,1),0)</f>
        <v>36</v>
      </c>
      <c r="X29" s="0" t="n">
        <v>26</v>
      </c>
      <c r="Y29" s="43" t="n">
        <f aca="false">IF(C$3=TRUE(),C$2*(COUNTA($A$4:$A$39)-P29+1),0)</f>
        <v>0</v>
      </c>
      <c r="Z29" s="43" t="n">
        <f aca="false">IF(D$3=TRUE(),D$2*(COUNTA($A$4:$A$39)-Q29+1),0)</f>
        <v>65</v>
      </c>
      <c r="AA29" s="43" t="n">
        <f aca="false">IF(E$3=TRUE(),E$2*(COUNTA($A$4:$A$39)-R29+1),0)</f>
        <v>128</v>
      </c>
      <c r="AB29" s="43" t="n">
        <f aca="false">IF(L$3=TRUE(),L$2*(COUNTA($A$4:$A$39)-S29+1),0)</f>
        <v>0</v>
      </c>
      <c r="AC29" s="43" t="n">
        <f aca="false">IF(M$3=TRUE(),M$2*(COUNTA($A$4:$A$39)-T29+1),0)</f>
        <v>0</v>
      </c>
      <c r="AD29" s="43" t="n">
        <f aca="false">IF(F$3=TRUE(),F$2*(COUNTA($A$4:$A$39)-U29+1),0)</f>
        <v>155</v>
      </c>
      <c r="AE29" s="43" t="n">
        <f aca="false">IF(G$3=TRUE(),G$2*(COUNTA($A$4:$A$39)-V29+1),0)</f>
        <v>3</v>
      </c>
      <c r="AF29" s="43" t="n">
        <f aca="false">IF(H$3=TRUE(),H$2*(COUNTA($A$4:$A$39)-W29+1),0)</f>
        <v>2</v>
      </c>
      <c r="AG29" s="43" t="n">
        <f aca="false">IF(J$3=TRUE(),J$2*(COUNTA($A$4:$A$39)-X29+1),0)</f>
        <v>44</v>
      </c>
      <c r="AH29" s="43" t="n">
        <f aca="false">IF(I29=TRUE(),0,SUM(Y29:AG29))</f>
        <v>397</v>
      </c>
    </row>
    <row r="30" customFormat="false" ht="17.25" hidden="false" customHeight="true" outlineLevel="0" collapsed="false">
      <c r="A30" s="35" t="s">
        <v>121</v>
      </c>
      <c r="B30" s="36" t="n">
        <f aca="false">RANK(AH30,$AH$4:$AH$39)</f>
        <v>28</v>
      </c>
      <c r="C30" s="35" t="n">
        <v>30</v>
      </c>
      <c r="D30" s="35" t="n">
        <v>22</v>
      </c>
      <c r="E30" s="35" t="n">
        <v>30</v>
      </c>
      <c r="F30" s="37" t="n">
        <f aca="false">M30/C30</f>
        <v>7.5</v>
      </c>
      <c r="G30" s="38" t="n">
        <v>1400</v>
      </c>
      <c r="H30" s="35" t="n">
        <v>94</v>
      </c>
      <c r="I30" s="39" t="b">
        <f aca="false">FALSE()</f>
        <v>0</v>
      </c>
      <c r="J30" s="35" t="s">
        <v>53</v>
      </c>
      <c r="K30" s="40" t="s">
        <v>122</v>
      </c>
      <c r="L30" s="35" t="n">
        <v>2</v>
      </c>
      <c r="M30" s="35" t="n">
        <v>225</v>
      </c>
      <c r="N30" s="35" t="s">
        <v>123</v>
      </c>
      <c r="O30" s="41" t="s">
        <v>124</v>
      </c>
      <c r="P30" s="42" t="n">
        <f aca="false">IF(C$3=TRUE(),RANK(C30,C$4:C$39,0),0)</f>
        <v>0</v>
      </c>
      <c r="Q30" s="43" t="n">
        <f aca="false">IF(D$3=TRUE(),RANK(D30,D$4:D$39,0),0)</f>
        <v>35</v>
      </c>
      <c r="R30" s="43" t="n">
        <f aca="false">IF(E$3=TRUE(),RANK(E30,E$4:E$39,0),0)</f>
        <v>7</v>
      </c>
      <c r="S30" s="43" t="n">
        <f aca="false">IF(L$3=TRUE(),RANK(L30,L$4:L$39,0),0)</f>
        <v>0</v>
      </c>
      <c r="T30" s="43" t="n">
        <f aca="false">IF(M$3=TRUE(),RANK(M30,M$4:M$39,0),0)</f>
        <v>0</v>
      </c>
      <c r="U30" s="43" t="n">
        <f aca="false">IF($F$3=TRUE(),RANK(F30,F$4:F$39,1),0)</f>
        <v>9</v>
      </c>
      <c r="V30" s="43" t="n">
        <f aca="false">IF($G$3=TRUE(),RANK(G30,G$4:G$39,0),0)</f>
        <v>33</v>
      </c>
      <c r="W30" s="43" t="n">
        <f aca="false">IF($H$3=TRUE(),RANK(H30,H$4:H$39,1),0)</f>
        <v>25</v>
      </c>
      <c r="X30" s="0" t="n">
        <v>17</v>
      </c>
      <c r="Y30" s="43" t="n">
        <f aca="false">IF(C$3=TRUE(),C$2*(COUNTA($A$4:$A$39)-P30+1),0)</f>
        <v>0</v>
      </c>
      <c r="Z30" s="43" t="n">
        <f aca="false">IF(D$3=TRUE(),D$2*(COUNTA($A$4:$A$39)-Q30+1),0)</f>
        <v>10</v>
      </c>
      <c r="AA30" s="43" t="n">
        <f aca="false">IF(E$3=TRUE(),E$2*(COUNTA($A$4:$A$39)-R30+1),0)</f>
        <v>120</v>
      </c>
      <c r="AB30" s="43" t="n">
        <f aca="false">IF(L$3=TRUE(),L$2*(COUNTA($A$4:$A$39)-S30+1),0)</f>
        <v>0</v>
      </c>
      <c r="AC30" s="43" t="n">
        <f aca="false">IF(M$3=TRUE(),M$2*(COUNTA($A$4:$A$39)-T30+1),0)</f>
        <v>0</v>
      </c>
      <c r="AD30" s="43" t="n">
        <f aca="false">IF(F$3=TRUE(),F$2*(COUNTA($A$4:$A$39)-U30+1),0)</f>
        <v>140</v>
      </c>
      <c r="AE30" s="43" t="n">
        <f aca="false">IF(G$3=TRUE(),G$2*(COUNTA($A$4:$A$39)-V30+1),0)</f>
        <v>12</v>
      </c>
      <c r="AF30" s="43" t="n">
        <f aca="false">IF(H$3=TRUE(),H$2*(COUNTA($A$4:$A$39)-W30+1),0)</f>
        <v>24</v>
      </c>
      <c r="AG30" s="43" t="n">
        <f aca="false">IF(J$3=TRUE(),J$2*(COUNTA($A$4:$A$39)-X30+1),0)</f>
        <v>80</v>
      </c>
      <c r="AH30" s="43" t="n">
        <f aca="false">IF(I30=TRUE(),0,SUM(Y30:AG30))</f>
        <v>386</v>
      </c>
    </row>
    <row r="31" customFormat="false" ht="17.25" hidden="false" customHeight="true" outlineLevel="0" collapsed="false">
      <c r="A31" s="35" t="s">
        <v>125</v>
      </c>
      <c r="B31" s="36" t="n">
        <f aca="false">RANK(AH31,$AH$4:$AH$39)</f>
        <v>27</v>
      </c>
      <c r="C31" s="35" t="n">
        <v>203</v>
      </c>
      <c r="D31" s="35" t="n">
        <v>87</v>
      </c>
      <c r="E31" s="35" t="n">
        <v>27</v>
      </c>
      <c r="F31" s="37" t="n">
        <f aca="false">M31/C31</f>
        <v>14.7783251231527</v>
      </c>
      <c r="G31" s="38" t="n">
        <v>10400</v>
      </c>
      <c r="H31" s="35" t="n">
        <v>124</v>
      </c>
      <c r="I31" s="39" t="b">
        <f aca="false">FALSE()</f>
        <v>0</v>
      </c>
      <c r="J31" s="35" t="s">
        <v>72</v>
      </c>
      <c r="K31" s="40" t="s">
        <v>126</v>
      </c>
      <c r="L31" s="35" t="n">
        <v>4</v>
      </c>
      <c r="M31" s="35" t="n">
        <v>3000</v>
      </c>
      <c r="N31" s="35" t="s">
        <v>127</v>
      </c>
      <c r="O31" s="41" t="s">
        <v>128</v>
      </c>
      <c r="P31" s="42" t="n">
        <f aca="false">IF(C$3=TRUE(),RANK(C31,C$4:C$39,0),0)</f>
        <v>0</v>
      </c>
      <c r="Q31" s="43" t="n">
        <f aca="false">IF(D$3=TRUE(),RANK(D31,D$4:D$39,0),0)</f>
        <v>12</v>
      </c>
      <c r="R31" s="43" t="n">
        <f aca="false">IF(E$3=TRUE(),RANK(E31,E$4:E$39,0),0)</f>
        <v>23</v>
      </c>
      <c r="S31" s="43" t="n">
        <f aca="false">IF(L$3=TRUE(),RANK(L31,L$4:L$39,0),0)</f>
        <v>0</v>
      </c>
      <c r="T31" s="43" t="n">
        <f aca="false">IF(M$3=TRUE(),RANK(M31,M$4:M$39,0),0)</f>
        <v>0</v>
      </c>
      <c r="U31" s="43" t="n">
        <f aca="false">IF($F$3=TRUE(),RANK(F31,F$4:F$39,1),0)</f>
        <v>23</v>
      </c>
      <c r="V31" s="43" t="n">
        <f aca="false">IF($G$3=TRUE(),RANK(G31,G$4:G$39,0),0)</f>
        <v>11</v>
      </c>
      <c r="W31" s="43" t="n">
        <f aca="false">IF($H$3=TRUE(),RANK(H31,H$4:H$39,1),0)</f>
        <v>30</v>
      </c>
      <c r="X31" s="0" t="n">
        <v>26</v>
      </c>
      <c r="Y31" s="43" t="n">
        <f aca="false">IF(C$3=TRUE(),C$2*(COUNTA($A$4:$A$39)-P31+1),0)</f>
        <v>0</v>
      </c>
      <c r="Z31" s="43" t="n">
        <f aca="false">IF(D$3=TRUE(),D$2*(COUNTA($A$4:$A$39)-Q31+1),0)</f>
        <v>125</v>
      </c>
      <c r="AA31" s="43" t="n">
        <f aca="false">IF(E$3=TRUE(),E$2*(COUNTA($A$4:$A$39)-R31+1),0)</f>
        <v>56</v>
      </c>
      <c r="AB31" s="43" t="n">
        <f aca="false">IF(L$3=TRUE(),L$2*(COUNTA($A$4:$A$39)-S31+1),0)</f>
        <v>0</v>
      </c>
      <c r="AC31" s="43" t="n">
        <f aca="false">IF(M$3=TRUE(),M$2*(COUNTA($A$4:$A$39)-T31+1),0)</f>
        <v>0</v>
      </c>
      <c r="AD31" s="43" t="n">
        <f aca="false">IF(F$3=TRUE(),F$2*(COUNTA($A$4:$A$39)-U31+1),0)</f>
        <v>70</v>
      </c>
      <c r="AE31" s="43" t="n">
        <f aca="false">IF(G$3=TRUE(),G$2*(COUNTA($A$4:$A$39)-V31+1),0)</f>
        <v>78</v>
      </c>
      <c r="AF31" s="43" t="n">
        <f aca="false">IF(H$3=TRUE(),H$2*(COUNTA($A$4:$A$39)-W31+1),0)</f>
        <v>14</v>
      </c>
      <c r="AG31" s="43" t="n">
        <f aca="false">IF(J$3=TRUE(),J$2*(COUNTA($A$4:$A$39)-X31+1),0)</f>
        <v>44</v>
      </c>
      <c r="AH31" s="43" t="n">
        <f aca="false">IF(I31=TRUE(),0,SUM(Y31:AG31))</f>
        <v>387</v>
      </c>
    </row>
    <row r="32" customFormat="false" ht="17.25" hidden="false" customHeight="true" outlineLevel="0" collapsed="false">
      <c r="A32" s="35" t="s">
        <v>129</v>
      </c>
      <c r="B32" s="36" t="n">
        <f aca="false">RANK(AH32,$AH$4:$AH$39)</f>
        <v>29</v>
      </c>
      <c r="C32" s="38" t="n">
        <v>1409</v>
      </c>
      <c r="D32" s="35" t="n">
        <v>66</v>
      </c>
      <c r="E32" s="35" t="n">
        <v>27</v>
      </c>
      <c r="F32" s="37" t="n">
        <f aca="false">M32/C32</f>
        <v>283.88928317956</v>
      </c>
      <c r="G32" s="38" t="n">
        <v>13690</v>
      </c>
      <c r="H32" s="35" t="n">
        <v>31</v>
      </c>
      <c r="I32" s="39" t="b">
        <f aca="false">FALSE()</f>
        <v>0</v>
      </c>
      <c r="J32" s="35" t="s">
        <v>72</v>
      </c>
      <c r="K32" s="40" t="s">
        <v>130</v>
      </c>
      <c r="L32" s="35" t="n">
        <v>2.25</v>
      </c>
      <c r="M32" s="38" t="n">
        <v>400000</v>
      </c>
      <c r="N32" s="35" t="s">
        <v>131</v>
      </c>
      <c r="O32" s="41" t="s">
        <v>132</v>
      </c>
      <c r="P32" s="42" t="n">
        <f aca="false">IF(C$3=TRUE(),RANK(C32,C$4:C$39,0),0)</f>
        <v>0</v>
      </c>
      <c r="Q32" s="43" t="n">
        <f aca="false">IF(D$3=TRUE(),RANK(D32,D$4:D$39,0),0)</f>
        <v>21</v>
      </c>
      <c r="R32" s="43" t="n">
        <f aca="false">IF(E$3=TRUE(),RANK(E32,E$4:E$39,0),0)</f>
        <v>23</v>
      </c>
      <c r="S32" s="43" t="n">
        <f aca="false">IF(L$3=TRUE(),RANK(L32,L$4:L$39,0),0)</f>
        <v>0</v>
      </c>
      <c r="T32" s="43" t="n">
        <f aca="false">IF(M$3=TRUE(),RANK(M32,M$4:M$39,0),0)</f>
        <v>0</v>
      </c>
      <c r="U32" s="43" t="n">
        <f aca="false">IF($F$3=TRUE(),RANK(F32,F$4:F$39,1),0)</f>
        <v>34</v>
      </c>
      <c r="V32" s="43" t="n">
        <f aca="false">IF($G$3=TRUE(),RANK(G32,G$4:G$39,0),0)</f>
        <v>7</v>
      </c>
      <c r="W32" s="43" t="n">
        <f aca="false">IF($H$3=TRUE(),RANK(H32,H$4:H$39,1),0)</f>
        <v>7</v>
      </c>
      <c r="X32" s="0" t="n">
        <v>26</v>
      </c>
      <c r="Y32" s="43" t="n">
        <f aca="false">IF(C$3=TRUE(),C$2*(COUNTA($A$4:$A$39)-P32+1),0)</f>
        <v>0</v>
      </c>
      <c r="Z32" s="43" t="n">
        <f aca="false">IF(D$3=TRUE(),D$2*(COUNTA($A$4:$A$39)-Q32+1),0)</f>
        <v>80</v>
      </c>
      <c r="AA32" s="43" t="n">
        <f aca="false">IF(E$3=TRUE(),E$2*(COUNTA($A$4:$A$39)-R32+1),0)</f>
        <v>56</v>
      </c>
      <c r="AB32" s="43" t="n">
        <f aca="false">IF(L$3=TRUE(),L$2*(COUNTA($A$4:$A$39)-S32+1),0)</f>
        <v>0</v>
      </c>
      <c r="AC32" s="43" t="n">
        <f aca="false">IF(M$3=TRUE(),M$2*(COUNTA($A$4:$A$39)-T32+1),0)</f>
        <v>0</v>
      </c>
      <c r="AD32" s="43" t="n">
        <f aca="false">IF(F$3=TRUE(),F$2*(COUNTA($A$4:$A$39)-U32+1),0)</f>
        <v>15</v>
      </c>
      <c r="AE32" s="43" t="n">
        <f aca="false">IF(G$3=TRUE(),G$2*(COUNTA($A$4:$A$39)-V32+1),0)</f>
        <v>90</v>
      </c>
      <c r="AF32" s="43" t="n">
        <f aca="false">IF(H$3=TRUE(),H$2*(COUNTA($A$4:$A$39)-W32+1),0)</f>
        <v>60</v>
      </c>
      <c r="AG32" s="43" t="n">
        <f aca="false">IF(J$3=TRUE(),J$2*(COUNTA($A$4:$A$39)-X32+1),0)</f>
        <v>44</v>
      </c>
      <c r="AH32" s="43" t="n">
        <f aca="false">IF(I32=TRUE(),0,SUM(Y32:AG32))</f>
        <v>345</v>
      </c>
    </row>
    <row r="33" customFormat="false" ht="17.25" hidden="false" customHeight="true" outlineLevel="0" collapsed="false">
      <c r="A33" s="35" t="s">
        <v>133</v>
      </c>
      <c r="B33" s="36" t="n">
        <f aca="false">RANK(AH33,$AH$4:$AH$39)</f>
        <v>30</v>
      </c>
      <c r="C33" s="35" t="n">
        <v>5.5</v>
      </c>
      <c r="D33" s="35" t="n">
        <v>89</v>
      </c>
      <c r="E33" s="35" t="n">
        <v>27</v>
      </c>
      <c r="F33" s="37" t="n">
        <f aca="false">M33/C33</f>
        <v>40.9090909090909</v>
      </c>
      <c r="G33" s="38" t="n">
        <v>5500</v>
      </c>
      <c r="H33" s="35" t="n">
        <v>143</v>
      </c>
      <c r="I33" s="39" t="b">
        <f aca="false">FALSE()</f>
        <v>0</v>
      </c>
      <c r="J33" s="35" t="s">
        <v>72</v>
      </c>
      <c r="K33" s="40" t="s">
        <v>134</v>
      </c>
      <c r="L33" s="35" t="n">
        <v>4</v>
      </c>
      <c r="M33" s="35" t="n">
        <v>225</v>
      </c>
      <c r="N33" s="35" t="s">
        <v>135</v>
      </c>
      <c r="O33" s="41" t="s">
        <v>136</v>
      </c>
      <c r="P33" s="42" t="n">
        <f aca="false">IF(C$3=TRUE(),RANK(C33,C$4:C$39,0),0)</f>
        <v>0</v>
      </c>
      <c r="Q33" s="43" t="n">
        <f aca="false">IF(D$3=TRUE(),RANK(D33,D$4:D$39,0),0)</f>
        <v>10</v>
      </c>
      <c r="R33" s="43" t="n">
        <f aca="false">IF(E$3=TRUE(),RANK(E33,E$4:E$39,0),0)</f>
        <v>23</v>
      </c>
      <c r="S33" s="43" t="n">
        <f aca="false">IF(L$3=TRUE(),RANK(L33,L$4:L$39,0),0)</f>
        <v>0</v>
      </c>
      <c r="T33" s="43" t="n">
        <f aca="false">IF(M$3=TRUE(),RANK(M33,M$4:M$39,0),0)</f>
        <v>0</v>
      </c>
      <c r="U33" s="43" t="n">
        <f aca="false">IF($F$3=TRUE(),RANK(F33,F$4:F$39,1),0)</f>
        <v>30</v>
      </c>
      <c r="V33" s="43" t="n">
        <f aca="false">IF($G$3=TRUE(),RANK(G33,G$4:G$39,0),0)</f>
        <v>16</v>
      </c>
      <c r="W33" s="43" t="n">
        <f aca="false">IF($H$3=TRUE(),RANK(H33,H$4:H$39,1),0)</f>
        <v>33</v>
      </c>
      <c r="X33" s="0" t="n">
        <v>26</v>
      </c>
      <c r="Y33" s="43" t="n">
        <f aca="false">IF(C$3=TRUE(),C$2*(COUNTA($A$4:$A$39)-P33+1),0)</f>
        <v>0</v>
      </c>
      <c r="Z33" s="43" t="n">
        <f aca="false">IF(D$3=TRUE(),D$2*(COUNTA($A$4:$A$39)-Q33+1),0)</f>
        <v>135</v>
      </c>
      <c r="AA33" s="43" t="n">
        <f aca="false">IF(E$3=TRUE(),E$2*(COUNTA($A$4:$A$39)-R33+1),0)</f>
        <v>56</v>
      </c>
      <c r="AB33" s="43" t="n">
        <f aca="false">IF(L$3=TRUE(),L$2*(COUNTA($A$4:$A$39)-S33+1),0)</f>
        <v>0</v>
      </c>
      <c r="AC33" s="43" t="n">
        <f aca="false">IF(M$3=TRUE(),M$2*(COUNTA($A$4:$A$39)-T33+1),0)</f>
        <v>0</v>
      </c>
      <c r="AD33" s="43" t="n">
        <f aca="false">IF(F$3=TRUE(),F$2*(COUNTA($A$4:$A$39)-U33+1),0)</f>
        <v>35</v>
      </c>
      <c r="AE33" s="43" t="n">
        <f aca="false">IF(G$3=TRUE(),G$2*(COUNTA($A$4:$A$39)-V33+1),0)</f>
        <v>63</v>
      </c>
      <c r="AF33" s="43" t="n">
        <f aca="false">IF(H$3=TRUE(),H$2*(COUNTA($A$4:$A$39)-W33+1),0)</f>
        <v>8</v>
      </c>
      <c r="AG33" s="43" t="n">
        <f aca="false">IF(J$3=TRUE(),J$2*(COUNTA($A$4:$A$39)-X33+1),0)</f>
        <v>44</v>
      </c>
      <c r="AH33" s="43" t="n">
        <f aca="false">IF(I33=TRUE(),0,SUM(Y33:AG33))</f>
        <v>341</v>
      </c>
    </row>
    <row r="34" customFormat="false" ht="17.25" hidden="false" customHeight="true" outlineLevel="0" collapsed="false">
      <c r="A34" s="35" t="s">
        <v>137</v>
      </c>
      <c r="B34" s="36" t="n">
        <f aca="false">RANK(AH34,$AH$4:$AH$39)</f>
        <v>31</v>
      </c>
      <c r="C34" s="35" t="n">
        <v>14.2</v>
      </c>
      <c r="D34" s="35" t="n">
        <v>95</v>
      </c>
      <c r="E34" s="35" t="n">
        <v>30</v>
      </c>
      <c r="F34" s="37" t="n">
        <f aca="false">M34/C34</f>
        <v>15.8450704225352</v>
      </c>
      <c r="G34" s="38" t="n">
        <v>3200</v>
      </c>
      <c r="H34" s="35" t="n">
        <v>63</v>
      </c>
      <c r="I34" s="39" t="b">
        <f aca="false">TRUE()</f>
        <v>1</v>
      </c>
      <c r="J34" s="44" t="s">
        <v>30</v>
      </c>
      <c r="K34" s="40"/>
      <c r="L34" s="35" t="n">
        <v>3.5</v>
      </c>
      <c r="M34" s="35" t="n">
        <v>225</v>
      </c>
      <c r="N34" s="35" t="s">
        <v>31</v>
      </c>
      <c r="O34" s="41" t="s">
        <v>138</v>
      </c>
      <c r="P34" s="42" t="n">
        <f aca="false">IF(C$3=TRUE(),RANK(C34,C$4:C$39,0),0)</f>
        <v>0</v>
      </c>
      <c r="Q34" s="43" t="n">
        <f aca="false">IF(D$3=TRUE(),RANK(D34,D$4:D$39,0),0)</f>
        <v>2</v>
      </c>
      <c r="R34" s="43" t="n">
        <f aca="false">IF(E$3=TRUE(),RANK(E34,E$4:E$39,0),0)</f>
        <v>7</v>
      </c>
      <c r="S34" s="43" t="n">
        <f aca="false">IF(L$3=TRUE(),RANK(L34,L$4:L$39,0),0)</f>
        <v>0</v>
      </c>
      <c r="T34" s="43" t="n">
        <f aca="false">IF(M$3=TRUE(),RANK(M34,M$4:M$39,0),0)</f>
        <v>0</v>
      </c>
      <c r="U34" s="43" t="n">
        <f aca="false">IF($F$3=TRUE(),RANK(F34,F$4:F$39,1),0)</f>
        <v>27</v>
      </c>
      <c r="V34" s="43" t="n">
        <f aca="false">IF($G$3=TRUE(),RANK(G34,G$4:G$39,0),0)</f>
        <v>24</v>
      </c>
      <c r="W34" s="43" t="n">
        <f aca="false">IF($H$3=TRUE(),RANK(H34,H$4:H$39,1),0)</f>
        <v>13</v>
      </c>
      <c r="X34" s="0" t="n">
        <v>1</v>
      </c>
      <c r="Y34" s="43" t="n">
        <f aca="false">IF(C$3=TRUE(),C$2*(COUNTA($A$4:$A$39)-P34+1),0)</f>
        <v>0</v>
      </c>
      <c r="Z34" s="43" t="n">
        <f aca="false">IF(D$3=TRUE(),D$2*(COUNTA($A$4:$A$39)-Q34+1),0)</f>
        <v>175</v>
      </c>
      <c r="AA34" s="43" t="n">
        <f aca="false">IF(E$3=TRUE(),E$2*(COUNTA($A$4:$A$39)-R34+1),0)</f>
        <v>120</v>
      </c>
      <c r="AB34" s="43" t="n">
        <f aca="false">IF(L$3=TRUE(),L$2*(COUNTA($A$4:$A$39)-S34+1),0)</f>
        <v>0</v>
      </c>
      <c r="AC34" s="43" t="n">
        <f aca="false">IF(M$3=TRUE(),M$2*(COUNTA($A$4:$A$39)-T34+1),0)</f>
        <v>0</v>
      </c>
      <c r="AD34" s="43" t="n">
        <f aca="false">IF(F$3=TRUE(),F$2*(COUNTA($A$4:$A$39)-U34+1),0)</f>
        <v>50</v>
      </c>
      <c r="AE34" s="43" t="n">
        <f aca="false">IF(G$3=TRUE(),G$2*(COUNTA($A$4:$A$39)-V34+1),0)</f>
        <v>39</v>
      </c>
      <c r="AF34" s="43" t="n">
        <f aca="false">IF(H$3=TRUE(),H$2*(COUNTA($A$4:$A$39)-W34+1),0)</f>
        <v>48</v>
      </c>
      <c r="AG34" s="43" t="n">
        <f aca="false">IF(J$3=TRUE(),J$2*(COUNTA($A$4:$A$39)-X34+1),0)</f>
        <v>144</v>
      </c>
      <c r="AH34" s="43" t="n">
        <f aca="false">IF(I34=TRUE(),0,SUM(Y34:AG34))</f>
        <v>0</v>
      </c>
    </row>
    <row r="35" customFormat="false" ht="17.25" hidden="false" customHeight="true" outlineLevel="0" collapsed="false">
      <c r="A35" s="35" t="s">
        <v>139</v>
      </c>
      <c r="B35" s="36" t="n">
        <f aca="false">RANK(AH35,$AH$4:$AH$39)</f>
        <v>31</v>
      </c>
      <c r="C35" s="35" t="n">
        <v>124.3</v>
      </c>
      <c r="D35" s="35" t="n">
        <v>92</v>
      </c>
      <c r="E35" s="35" t="n">
        <v>20</v>
      </c>
      <c r="F35" s="37" t="n">
        <f aca="false">M35/C35</f>
        <v>8.0450522928399</v>
      </c>
      <c r="G35" s="38" t="n">
        <v>33960</v>
      </c>
      <c r="H35" s="35" t="n">
        <v>29</v>
      </c>
      <c r="I35" s="39" t="b">
        <f aca="false">TRUE()</f>
        <v>1</v>
      </c>
      <c r="J35" s="35" t="s">
        <v>30</v>
      </c>
      <c r="K35" s="40"/>
      <c r="L35" s="35" t="n">
        <v>4.25</v>
      </c>
      <c r="M35" s="38" t="n">
        <v>1000</v>
      </c>
      <c r="N35" s="35" t="s">
        <v>140</v>
      </c>
      <c r="O35" s="41" t="s">
        <v>141</v>
      </c>
      <c r="P35" s="42" t="n">
        <f aca="false">IF(C$3=TRUE(),RANK(C35,C$4:C$39,0),0)</f>
        <v>0</v>
      </c>
      <c r="Q35" s="43" t="n">
        <f aca="false">IF(D$3=TRUE(),RANK(D35,D$4:D$39,0),0)</f>
        <v>8</v>
      </c>
      <c r="R35" s="43" t="n">
        <f aca="false">IF(E$3=TRUE(),RANK(E35,E$4:E$39,0),0)</f>
        <v>36</v>
      </c>
      <c r="S35" s="43" t="n">
        <f aca="false">IF(L$3=TRUE(),RANK(L35,L$4:L$39,0),0)</f>
        <v>0</v>
      </c>
      <c r="T35" s="43" t="n">
        <f aca="false">IF(M$3=TRUE(),RANK(M35,M$4:M$39,0),0)</f>
        <v>0</v>
      </c>
      <c r="U35" s="43" t="n">
        <f aca="false">IF($F$3=TRUE(),RANK(F35,F$4:F$39,1),0)</f>
        <v>10</v>
      </c>
      <c r="V35" s="43" t="n">
        <f aca="false">IF($G$3=TRUE(),RANK(G35,G$4:G$39,0),0)</f>
        <v>5</v>
      </c>
      <c r="W35" s="43" t="n">
        <f aca="false">IF($H$3=TRUE(),RANK(H35,H$4:H$39,1),0)</f>
        <v>6</v>
      </c>
      <c r="X35" s="0" t="n">
        <v>1</v>
      </c>
      <c r="Y35" s="43" t="n">
        <f aca="false">IF(C$3=TRUE(),C$2*(COUNTA($A$4:$A$39)-P35+1),0)</f>
        <v>0</v>
      </c>
      <c r="Z35" s="43" t="n">
        <f aca="false">IF(D$3=TRUE(),D$2*(COUNTA($A$4:$A$39)-Q35+1),0)</f>
        <v>145</v>
      </c>
      <c r="AA35" s="43" t="n">
        <f aca="false">IF(E$3=TRUE(),E$2*(COUNTA($A$4:$A$39)-R35+1),0)</f>
        <v>4</v>
      </c>
      <c r="AB35" s="43" t="n">
        <f aca="false">IF(L$3=TRUE(),L$2*(COUNTA($A$4:$A$39)-S35+1),0)</f>
        <v>0</v>
      </c>
      <c r="AC35" s="43" t="n">
        <f aca="false">IF(M$3=TRUE(),M$2*(COUNTA($A$4:$A$39)-T35+1),0)</f>
        <v>0</v>
      </c>
      <c r="AD35" s="43" t="n">
        <f aca="false">IF(F$3=TRUE(),F$2*(COUNTA($A$4:$A$39)-U35+1),0)</f>
        <v>135</v>
      </c>
      <c r="AE35" s="43" t="n">
        <f aca="false">IF(G$3=TRUE(),G$2*(COUNTA($A$4:$A$39)-V35+1),0)</f>
        <v>96</v>
      </c>
      <c r="AF35" s="43" t="n">
        <f aca="false">IF(H$3=TRUE(),H$2*(COUNTA($A$4:$A$39)-W35+1),0)</f>
        <v>62</v>
      </c>
      <c r="AG35" s="43" t="n">
        <f aca="false">IF(J$3=TRUE(),J$2*(COUNTA($A$4:$A$39)-X35+1),0)</f>
        <v>144</v>
      </c>
      <c r="AH35" s="43" t="n">
        <f aca="false">IF(I35=TRUE(),0,SUM(Y35:AG35))</f>
        <v>0</v>
      </c>
    </row>
    <row r="36" customFormat="false" ht="17.25" hidden="false" customHeight="true" outlineLevel="0" collapsed="false">
      <c r="A36" s="35" t="s">
        <v>142</v>
      </c>
      <c r="B36" s="36" t="n">
        <f aca="false">RANK(AH36,$AH$4:$AH$39)</f>
        <v>31</v>
      </c>
      <c r="C36" s="35" t="n">
        <v>33.6</v>
      </c>
      <c r="D36" s="35" t="n">
        <v>78</v>
      </c>
      <c r="E36" s="35" t="n">
        <v>29</v>
      </c>
      <c r="F36" s="37" t="n">
        <f aca="false">M36/C36</f>
        <v>18.2738095238095</v>
      </c>
      <c r="G36" s="38" t="n">
        <v>13000</v>
      </c>
      <c r="H36" s="35" t="n">
        <v>12</v>
      </c>
      <c r="I36" s="39" t="b">
        <f aca="false">TRUE()</f>
        <v>1</v>
      </c>
      <c r="J36" s="35" t="s">
        <v>30</v>
      </c>
      <c r="K36" s="40"/>
      <c r="L36" s="35" t="n">
        <v>2.15</v>
      </c>
      <c r="M36" s="35" t="n">
        <v>614</v>
      </c>
      <c r="N36" s="35" t="s">
        <v>143</v>
      </c>
      <c r="O36" s="41" t="s">
        <v>144</v>
      </c>
      <c r="P36" s="42" t="n">
        <f aca="false">IF(C$3=TRUE(),RANK(C36,C$4:C$39,0),0)</f>
        <v>0</v>
      </c>
      <c r="Q36" s="43" t="n">
        <f aca="false">IF(D$3=TRUE(),RANK(D36,D$4:D$39,0),0)</f>
        <v>17</v>
      </c>
      <c r="R36" s="43" t="n">
        <f aca="false">IF(E$3=TRUE(),RANK(E36,E$4:E$39,0),0)</f>
        <v>14</v>
      </c>
      <c r="S36" s="43" t="n">
        <f aca="false">IF(L$3=TRUE(),RANK(L36,L$4:L$39,0),0)</f>
        <v>0</v>
      </c>
      <c r="T36" s="43" t="n">
        <f aca="false">IF(M$3=TRUE(),RANK(M36,M$4:M$39,0),0)</f>
        <v>0</v>
      </c>
      <c r="U36" s="43" t="n">
        <f aca="false">IF($F$3=TRUE(),RANK(F36,F$4:F$39,1),0)</f>
        <v>28</v>
      </c>
      <c r="V36" s="43" t="n">
        <f aca="false">IF($G$3=TRUE(),RANK(G36,G$4:G$39,0),0)</f>
        <v>8</v>
      </c>
      <c r="W36" s="43" t="n">
        <f aca="false">IF($H$3=TRUE(),RANK(H36,H$4:H$39,1),0)</f>
        <v>3</v>
      </c>
      <c r="X36" s="0" t="n">
        <v>1</v>
      </c>
      <c r="Y36" s="43" t="n">
        <f aca="false">IF(C$3=TRUE(),C$2*(COUNTA($A$4:$A$39)-P36+1),0)</f>
        <v>0</v>
      </c>
      <c r="Z36" s="43" t="n">
        <f aca="false">IF(D$3=TRUE(),D$2*(COUNTA($A$4:$A$39)-Q36+1),0)</f>
        <v>100</v>
      </c>
      <c r="AA36" s="43" t="n">
        <f aca="false">IF(E$3=TRUE(),E$2*(COUNTA($A$4:$A$39)-R36+1),0)</f>
        <v>92</v>
      </c>
      <c r="AB36" s="43" t="n">
        <f aca="false">IF(L$3=TRUE(),L$2*(COUNTA($A$4:$A$39)-S36+1),0)</f>
        <v>0</v>
      </c>
      <c r="AC36" s="43" t="n">
        <f aca="false">IF(M$3=TRUE(),M$2*(COUNTA($A$4:$A$39)-T36+1),0)</f>
        <v>0</v>
      </c>
      <c r="AD36" s="43" t="n">
        <f aca="false">IF(F$3=TRUE(),F$2*(COUNTA($A$4:$A$39)-U36+1),0)</f>
        <v>45</v>
      </c>
      <c r="AE36" s="43" t="n">
        <f aca="false">IF(G$3=TRUE(),G$2*(COUNTA($A$4:$A$39)-V36+1),0)</f>
        <v>87</v>
      </c>
      <c r="AF36" s="43" t="n">
        <f aca="false">IF(H$3=TRUE(),H$2*(COUNTA($A$4:$A$39)-W36+1),0)</f>
        <v>68</v>
      </c>
      <c r="AG36" s="43" t="n">
        <f aca="false">IF(J$3=TRUE(),J$2*(COUNTA($A$4:$A$39)-X36+1),0)</f>
        <v>144</v>
      </c>
      <c r="AH36" s="43" t="n">
        <f aca="false">IF(I36=TRUE(),0,SUM(Y36:AG36))</f>
        <v>0</v>
      </c>
    </row>
    <row r="37" customFormat="false" ht="17.25" hidden="false" customHeight="true" outlineLevel="0" collapsed="false">
      <c r="A37" s="35" t="s">
        <v>145</v>
      </c>
      <c r="B37" s="36" t="n">
        <f aca="false">RANK(AH37,$AH$4:$AH$39)</f>
        <v>31</v>
      </c>
      <c r="C37" s="35" t="n">
        <v>117.3</v>
      </c>
      <c r="D37" s="35" t="n">
        <v>48</v>
      </c>
      <c r="E37" s="35" t="n">
        <v>31</v>
      </c>
      <c r="F37" s="37" t="n">
        <f aca="false">M37/C37</f>
        <v>34.1005967604433</v>
      </c>
      <c r="G37" s="38" t="n">
        <v>3985</v>
      </c>
      <c r="H37" s="35" t="n">
        <v>95</v>
      </c>
      <c r="I37" s="39" t="b">
        <f aca="false">TRUE()</f>
        <v>1</v>
      </c>
      <c r="J37" s="35" t="s">
        <v>30</v>
      </c>
      <c r="K37" s="40"/>
      <c r="L37" s="35" t="n">
        <v>2.4</v>
      </c>
      <c r="M37" s="35" t="n">
        <v>4000</v>
      </c>
      <c r="N37" s="35" t="s">
        <v>146</v>
      </c>
      <c r="O37" s="41" t="s">
        <v>147</v>
      </c>
      <c r="P37" s="42" t="n">
        <f aca="false">IF(C$3=TRUE(),RANK(C37,C$4:C$39,0),0)</f>
        <v>0</v>
      </c>
      <c r="Q37" s="43" t="n">
        <f aca="false">IF(D$3=TRUE(),RANK(D37,D$4:D$39,0),0)</f>
        <v>26</v>
      </c>
      <c r="R37" s="43" t="n">
        <f aca="false">IF(E$3=TRUE(),RANK(E37,E$4:E$39,0),0)</f>
        <v>5</v>
      </c>
      <c r="S37" s="43" t="n">
        <f aca="false">IF(L$3=TRUE(),RANK(L37,L$4:L$39,0),0)</f>
        <v>0</v>
      </c>
      <c r="T37" s="43" t="n">
        <f aca="false">IF(M$3=TRUE(),RANK(M37,M$4:M$39,0),0)</f>
        <v>0</v>
      </c>
      <c r="U37" s="43" t="n">
        <f aca="false">IF($F$3=TRUE(),RANK(F37,F$4:F$39,1),0)</f>
        <v>29</v>
      </c>
      <c r="V37" s="43" t="n">
        <f aca="false">IF($G$3=TRUE(),RANK(G37,G$4:G$39,0),0)</f>
        <v>22</v>
      </c>
      <c r="W37" s="43" t="n">
        <f aca="false">IF($H$3=TRUE(),RANK(H37,H$4:H$39,1),0)</f>
        <v>26</v>
      </c>
      <c r="X37" s="0" t="n">
        <v>1</v>
      </c>
      <c r="Y37" s="43" t="n">
        <f aca="false">IF(C$3=TRUE(),C$2*(COUNTA($A$4:$A$39)-P37+1),0)</f>
        <v>0</v>
      </c>
      <c r="Z37" s="43" t="n">
        <f aca="false">IF(D$3=TRUE(),D$2*(COUNTA($A$4:$A$39)-Q37+1),0)</f>
        <v>55</v>
      </c>
      <c r="AA37" s="43" t="n">
        <f aca="false">IF(E$3=TRUE(),E$2*(COUNTA($A$4:$A$39)-R37+1),0)</f>
        <v>128</v>
      </c>
      <c r="AB37" s="43" t="n">
        <f aca="false">IF(L$3=TRUE(),L$2*(COUNTA($A$4:$A$39)-S37+1),0)</f>
        <v>0</v>
      </c>
      <c r="AC37" s="43" t="n">
        <f aca="false">IF(M$3=TRUE(),M$2*(COUNTA($A$4:$A$39)-T37+1),0)</f>
        <v>0</v>
      </c>
      <c r="AD37" s="43" t="n">
        <f aca="false">IF(F$3=TRUE(),F$2*(COUNTA($A$4:$A$39)-U37+1),0)</f>
        <v>40</v>
      </c>
      <c r="AE37" s="43" t="n">
        <f aca="false">IF(G$3=TRUE(),G$2*(COUNTA($A$4:$A$39)-V37+1),0)</f>
        <v>45</v>
      </c>
      <c r="AF37" s="43" t="n">
        <f aca="false">IF(H$3=TRUE(),H$2*(COUNTA($A$4:$A$39)-W37+1),0)</f>
        <v>22</v>
      </c>
      <c r="AG37" s="43" t="n">
        <f aca="false">IF(J$3=TRUE(),J$2*(COUNTA($A$4:$A$39)-X37+1),0)</f>
        <v>144</v>
      </c>
      <c r="AH37" s="43" t="n">
        <f aca="false">IF(I37=TRUE(),0,SUM(Y37:AG37))</f>
        <v>0</v>
      </c>
    </row>
    <row r="38" customFormat="false" ht="17.25" hidden="false" customHeight="true" outlineLevel="0" collapsed="false">
      <c r="A38" s="35" t="s">
        <v>148</v>
      </c>
      <c r="B38" s="36" t="n">
        <f aca="false">RANK(AH38,$AH$4:$AH$39)</f>
        <v>31</v>
      </c>
      <c r="C38" s="35" t="n">
        <v>5.92</v>
      </c>
      <c r="D38" s="35" t="n">
        <v>100</v>
      </c>
      <c r="E38" s="35" t="n">
        <v>25</v>
      </c>
      <c r="F38" s="37" t="n">
        <f aca="false">M38/C38</f>
        <v>118.243243243243</v>
      </c>
      <c r="G38" s="38" t="n">
        <v>88000</v>
      </c>
      <c r="H38" s="35" t="n">
        <v>2</v>
      </c>
      <c r="I38" s="39" t="b">
        <f aca="false">TRUE()</f>
        <v>1</v>
      </c>
      <c r="J38" s="35" t="s">
        <v>30</v>
      </c>
      <c r="K38" s="40"/>
      <c r="L38" s="35" t="n">
        <v>4.6</v>
      </c>
      <c r="M38" s="35" t="n">
        <v>700</v>
      </c>
      <c r="N38" s="35" t="s">
        <v>149</v>
      </c>
      <c r="O38" s="41" t="s">
        <v>150</v>
      </c>
      <c r="P38" s="42" t="n">
        <f aca="false">IF(C$3=TRUE(),RANK(C38,C$4:C$39,0),0)</f>
        <v>0</v>
      </c>
      <c r="Q38" s="43" t="n">
        <f aca="false">IF(D$3=TRUE(),RANK(D38,D$4:D$39,0),0)</f>
        <v>1</v>
      </c>
      <c r="R38" s="43" t="n">
        <f aca="false">IF(E$3=TRUE(),RANK(E38,E$4:E$39,0),0)</f>
        <v>30</v>
      </c>
      <c r="S38" s="43" t="n">
        <f aca="false">IF(L$3=TRUE(),RANK(L38,L$4:L$39,0),0)</f>
        <v>0</v>
      </c>
      <c r="T38" s="43" t="n">
        <f aca="false">IF(M$3=TRUE(),RANK(M38,M$4:M$39,0),0)</f>
        <v>0</v>
      </c>
      <c r="U38" s="43" t="n">
        <f aca="false">IF($F$3=TRUE(),RANK(F38,F$4:F$39,1),0)</f>
        <v>33</v>
      </c>
      <c r="V38" s="43" t="n">
        <f aca="false">IF($G$3=TRUE(),RANK(G38,G$4:G$39,0),0)</f>
        <v>1</v>
      </c>
      <c r="W38" s="43" t="n">
        <f aca="false">IF($H$3=TRUE(),RANK(H38,H$4:H$39,1),0)</f>
        <v>1</v>
      </c>
      <c r="X38" s="0" t="n">
        <v>1</v>
      </c>
      <c r="Y38" s="43" t="n">
        <f aca="false">IF(C$3=TRUE(),C$2*(COUNTA($A$4:$A$39)-P38+1),0)</f>
        <v>0</v>
      </c>
      <c r="Z38" s="43" t="n">
        <f aca="false">IF(D$3=TRUE(),D$2*(COUNTA($A$4:$A$39)-Q38+1),0)</f>
        <v>180</v>
      </c>
      <c r="AA38" s="43" t="n">
        <f aca="false">IF(E$3=TRUE(),E$2*(COUNTA($A$4:$A$39)-R38+1),0)</f>
        <v>28</v>
      </c>
      <c r="AB38" s="43" t="n">
        <f aca="false">IF(L$3=TRUE(),L$2*(COUNTA($A$4:$A$39)-S38+1),0)</f>
        <v>0</v>
      </c>
      <c r="AC38" s="43" t="n">
        <f aca="false">IF(M$3=TRUE(),M$2*(COUNTA($A$4:$A$39)-T38+1),0)</f>
        <v>0</v>
      </c>
      <c r="AD38" s="43" t="n">
        <f aca="false">IF(F$3=TRUE(),F$2*(COUNTA($A$4:$A$39)-U38+1),0)</f>
        <v>20</v>
      </c>
      <c r="AE38" s="43" t="n">
        <f aca="false">IF(G$3=TRUE(),G$2*(COUNTA($A$4:$A$39)-V38+1),0)</f>
        <v>108</v>
      </c>
      <c r="AF38" s="43" t="n">
        <f aca="false">IF(H$3=TRUE(),H$2*(COUNTA($A$4:$A$39)-W38+1),0)</f>
        <v>72</v>
      </c>
      <c r="AG38" s="43" t="n">
        <f aca="false">IF(J$3=TRUE(),J$2*(COUNTA($A$4:$A$39)-X38+1),0)</f>
        <v>144</v>
      </c>
      <c r="AH38" s="43" t="n">
        <f aca="false">IF(I38=TRUE(),0,SUM(Y38:AG38))</f>
        <v>0</v>
      </c>
    </row>
    <row r="39" customFormat="false" ht="18" hidden="false" customHeight="true" outlineLevel="0" collapsed="false">
      <c r="A39" s="35" t="s">
        <v>151</v>
      </c>
      <c r="B39" s="45" t="n">
        <f aca="false">RANK(AH39,$AH$4:$AH$39)</f>
        <v>31</v>
      </c>
      <c r="C39" s="35" t="n">
        <v>23.3</v>
      </c>
      <c r="D39" s="35" t="n">
        <v>79</v>
      </c>
      <c r="E39" s="35" t="n">
        <v>25</v>
      </c>
      <c r="F39" s="37" t="n">
        <f aca="false">M39/C39</f>
        <v>1126.82403433476</v>
      </c>
      <c r="G39" s="38" t="n">
        <v>34430</v>
      </c>
      <c r="H39" s="35" t="n">
        <v>15</v>
      </c>
      <c r="I39" s="39" t="b">
        <f aca="false">TRUE()</f>
        <v>1</v>
      </c>
      <c r="J39" s="35" t="s">
        <v>30</v>
      </c>
      <c r="K39" s="40"/>
      <c r="L39" s="35" t="n">
        <v>1.85</v>
      </c>
      <c r="M39" s="38" t="n">
        <v>26255</v>
      </c>
      <c r="N39" s="35" t="s">
        <v>152</v>
      </c>
      <c r="O39" s="41" t="s">
        <v>153</v>
      </c>
      <c r="P39" s="46" t="n">
        <f aca="false">IF(C$3=TRUE(),RANK(C39,C$4:C$39,0),0)</f>
        <v>0</v>
      </c>
      <c r="Q39" s="47" t="n">
        <f aca="false">IF(D$3=TRUE(),RANK(D39,D$4:D$39,0),0)</f>
        <v>15</v>
      </c>
      <c r="R39" s="47" t="n">
        <f aca="false">IF(E$3=TRUE(),RANK(E39,E$4:E$39,0),0)</f>
        <v>30</v>
      </c>
      <c r="S39" s="47" t="n">
        <f aca="false">IF(L$3=TRUE(),RANK(L39,L$4:L$39,0),0)</f>
        <v>0</v>
      </c>
      <c r="T39" s="47" t="n">
        <f aca="false">IF(M$3=TRUE(),RANK(M39,M$4:M$39,0),0)</f>
        <v>0</v>
      </c>
      <c r="U39" s="47" t="n">
        <f aca="false">IF($F$3=TRUE(),RANK(F39,F$4:F$39,1),0)</f>
        <v>36</v>
      </c>
      <c r="V39" s="47" t="n">
        <f aca="false">IF($G$3=TRUE(),RANK(G39,G$4:G$39,0),0)</f>
        <v>4</v>
      </c>
      <c r="W39" s="47" t="n">
        <f aca="false">IF($H$3=TRUE(),RANK(H39,H$4:H$39,1),0)</f>
        <v>4</v>
      </c>
      <c r="X39" s="47" t="n">
        <v>1</v>
      </c>
      <c r="Y39" s="47" t="n">
        <f aca="false">IF(C$3=TRUE(),C$2*(COUNTA($A$4:$A$39)-P39+1),0)</f>
        <v>0</v>
      </c>
      <c r="Z39" s="47" t="n">
        <f aca="false">IF(D$3=TRUE(),D$2*(COUNTA($A$4:$A$39)-Q39+1),0)</f>
        <v>110</v>
      </c>
      <c r="AA39" s="47" t="n">
        <f aca="false">IF(E$3=TRUE(),E$2*(COUNTA($A$4:$A$39)-R39+1),0)</f>
        <v>28</v>
      </c>
      <c r="AB39" s="47" t="n">
        <f aca="false">IF(L$3=TRUE(),L$2*(COUNTA($A$4:$A$39)-S39+1),0)</f>
        <v>0</v>
      </c>
      <c r="AC39" s="47" t="n">
        <f aca="false">IF(M$3=TRUE(),M$2*(COUNTA($A$4:$A$39)-T39+1),0)</f>
        <v>0</v>
      </c>
      <c r="AD39" s="47" t="n">
        <f aca="false">IF(F$3=TRUE(),F$2*(COUNTA($A$4:$A$39)-U39+1),0)</f>
        <v>5</v>
      </c>
      <c r="AE39" s="47" t="n">
        <f aca="false">IF(G$3=TRUE(),G$2*(COUNTA($A$4:$A$39)-V39+1),0)</f>
        <v>99</v>
      </c>
      <c r="AF39" s="47" t="n">
        <f aca="false">IF(H$3=TRUE(),H$2*(COUNTA($A$4:$A$39)-W39+1),0)</f>
        <v>66</v>
      </c>
      <c r="AG39" s="47" t="n">
        <f aca="false">IF(J$3=TRUE(),J$2*(COUNTA($A$4:$A$39)-X39+1),0)</f>
        <v>144</v>
      </c>
      <c r="AH39" s="47" t="n">
        <f aca="false">IF(I39=TRUE(),0,SUM(Y39:AG39))</f>
        <v>0</v>
      </c>
    </row>
  </sheetData>
  <autoFilter ref="A3:AH39">
    <sortState ref="A4:AH39">
      <sortCondition ref="A4:A39" customList=""/>
    </sortState>
  </autoFilter>
  <mergeCells count="2">
    <mergeCell ref="P1:W1"/>
    <mergeCell ref="Y1:AH1"/>
  </mergeCells>
  <conditionalFormatting sqref="I1:J1048576 L1:M1048576">
    <cfRule type="cellIs" priority="2" operator="equal" aboveAverage="0" equalAverage="0" bottom="0" percent="0" rank="0" text="" dxfId="133">
      <formula>1</formula>
    </cfRule>
  </conditionalFormatting>
  <conditionalFormatting sqref="AC2">
    <cfRule type="colorScale" priority="3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Y2:AB2 AD2:AH2">
    <cfRule type="colorScale" priority="4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P1">
    <cfRule type="colorScale" priority="5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F4:F50">
    <cfRule type="colorScale" priority="6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E1 E4:E101">
    <cfRule type="colorScale" priority="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G1 G4:G1048576">
    <cfRule type="colorScale" priority="8">
      <colorScale>
        <cfvo type="min" val="0"/>
        <cfvo type="max" val="0"/>
        <color rgb="FFFCFCFF"/>
        <color rgb="FF63BE7B"/>
      </colorScale>
    </cfRule>
  </conditionalFormatting>
  <conditionalFormatting sqref="M1 M4:M1048576">
    <cfRule type="colorScale" priority="9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L1 L4:L1048576">
    <cfRule type="colorScale" priority="1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F1 F51:F101">
    <cfRule type="colorScale" priority="1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D1 D4:D1048576">
    <cfRule type="colorScale" priority="12">
      <colorScale>
        <cfvo type="min" val="0"/>
        <cfvo type="percentile" val="50"/>
        <cfvo type="max" val="0"/>
        <color rgb="FFF8696B"/>
        <color rgb="FFFCFCFF"/>
        <color rgb="FF63BE7B"/>
      </colorScale>
    </cfRule>
    <cfRule type="colorScale" priority="13">
      <colorScale>
        <cfvo type="min" val="0"/>
        <cfvo type="max" val="0"/>
        <color rgb="FFFCFCFF"/>
        <color rgb="FF63BE7B"/>
      </colorScale>
    </cfRule>
  </conditionalFormatting>
  <conditionalFormatting sqref="E1 E4:E1048576">
    <cfRule type="colorScale" priority="14">
      <colorScale>
        <cfvo type="min" val="0"/>
        <cfvo type="max" val="0"/>
        <color rgb="FFFCFCFF"/>
        <color rgb="FF63BE7B"/>
      </colorScale>
    </cfRule>
  </conditionalFormatting>
  <conditionalFormatting sqref="B1 B4:B39 P2:X2">
    <cfRule type="colorScale" priority="15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H1:J1 H4:J1048576">
    <cfRule type="colorScale" priority="16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E35"/>
  <sheetViews>
    <sheetView showFormulas="false" showGridLines="false" showRowColHeaders="true" showZeros="true" rightToLeft="false" tabSelected="false" showOutlineSymbols="true" defaultGridColor="true" view="normal" topLeftCell="A1" colorId="64" zoomScale="98" zoomScaleNormal="98" zoomScalePageLayoutView="100" workbookViewId="0">
      <selection pane="topLeft" activeCell="D16" activeCellId="0" sqref="D16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8.91"/>
    <col collapsed="false" customWidth="true" hidden="false" outlineLevel="0" max="2" min="2" style="0" width="12.81"/>
    <col collapsed="false" customWidth="true" hidden="false" outlineLevel="0" max="3" min="3" style="0" width="19.81"/>
    <col collapsed="false" customWidth="true" hidden="false" outlineLevel="0" max="4" min="4" style="0" width="42.91"/>
    <col collapsed="false" customWidth="true" hidden="false" outlineLevel="0" max="5" min="5" style="0" width="35"/>
  </cols>
  <sheetData>
    <row r="3" customFormat="false" ht="15" hidden="false" customHeight="true" outlineLevel="0" collapsed="false"/>
    <row r="4" customFormat="false" ht="15" hidden="false" customHeight="true" outlineLevel="0" collapsed="false">
      <c r="C4" s="48" t="s">
        <v>154</v>
      </c>
      <c r="D4" s="49" t="s">
        <v>155</v>
      </c>
      <c r="E4" s="50" t="s">
        <v>156</v>
      </c>
    </row>
    <row r="5" customFormat="false" ht="14.25" hidden="false" customHeight="false" outlineLevel="0" collapsed="false">
      <c r="C5" s="51" t="s">
        <v>83</v>
      </c>
      <c r="D5" s="52" t="s">
        <v>84</v>
      </c>
      <c r="E5" s="53" t="s">
        <v>72</v>
      </c>
    </row>
    <row r="6" customFormat="false" ht="14.25" hidden="false" customHeight="false" outlineLevel="0" collapsed="false">
      <c r="C6" s="54" t="s">
        <v>91</v>
      </c>
      <c r="D6" s="55" t="s">
        <v>92</v>
      </c>
      <c r="E6" s="56" t="s">
        <v>72</v>
      </c>
    </row>
    <row r="7" customFormat="false" ht="14.25" hidden="false" customHeight="false" outlineLevel="0" collapsed="false">
      <c r="C7" s="54" t="s">
        <v>76</v>
      </c>
      <c r="D7" s="55" t="s">
        <v>77</v>
      </c>
      <c r="E7" s="57" t="s">
        <v>53</v>
      </c>
    </row>
    <row r="8" customFormat="false" ht="14.25" hidden="false" customHeight="false" outlineLevel="0" collapsed="false">
      <c r="C8" s="54" t="s">
        <v>125</v>
      </c>
      <c r="D8" s="55" t="s">
        <v>126</v>
      </c>
      <c r="E8" s="56" t="s">
        <v>72</v>
      </c>
    </row>
    <row r="9" customFormat="false" ht="14.25" hidden="false" customHeight="false" outlineLevel="0" collapsed="false">
      <c r="C9" s="54" t="s">
        <v>94</v>
      </c>
      <c r="D9" s="55" t="s">
        <v>95</v>
      </c>
      <c r="E9" s="56" t="s">
        <v>72</v>
      </c>
    </row>
    <row r="10" customFormat="false" ht="14.25" hidden="false" customHeight="false" outlineLevel="0" collapsed="false">
      <c r="C10" s="54" t="s">
        <v>129</v>
      </c>
      <c r="D10" s="55" t="s">
        <v>130</v>
      </c>
      <c r="E10" s="56" t="s">
        <v>72</v>
      </c>
    </row>
    <row r="11" customFormat="false" ht="14.25" hidden="false" customHeight="false" outlineLevel="0" collapsed="false">
      <c r="C11" s="54" t="s">
        <v>87</v>
      </c>
      <c r="D11" s="55" t="s">
        <v>88</v>
      </c>
      <c r="E11" s="56" t="s">
        <v>72</v>
      </c>
    </row>
    <row r="12" customFormat="false" ht="14.25" hidden="false" customHeight="false" outlineLevel="0" collapsed="false">
      <c r="C12" s="54" t="s">
        <v>98</v>
      </c>
      <c r="D12" s="55" t="s">
        <v>99</v>
      </c>
      <c r="E12" s="57" t="s">
        <v>53</v>
      </c>
    </row>
    <row r="13" customFormat="false" ht="14.25" hidden="false" customHeight="false" outlineLevel="0" collapsed="false">
      <c r="C13" s="54" t="s">
        <v>157</v>
      </c>
      <c r="D13" s="55"/>
      <c r="E13" s="57" t="s">
        <v>30</v>
      </c>
    </row>
    <row r="14" customFormat="false" ht="14.25" hidden="false" customHeight="false" outlineLevel="0" collapsed="false">
      <c r="C14" s="54" t="s">
        <v>40</v>
      </c>
      <c r="D14" s="55"/>
      <c r="E14" s="57" t="s">
        <v>30</v>
      </c>
    </row>
    <row r="15" customFormat="false" ht="14.25" hidden="false" customHeight="false" outlineLevel="0" collapsed="false">
      <c r="C15" s="54" t="s">
        <v>139</v>
      </c>
      <c r="D15" s="55"/>
      <c r="E15" s="57" t="s">
        <v>30</v>
      </c>
    </row>
    <row r="16" customFormat="false" ht="14.25" hidden="false" customHeight="false" outlineLevel="0" collapsed="false">
      <c r="C16" s="54" t="s">
        <v>67</v>
      </c>
      <c r="D16" s="55" t="s">
        <v>68</v>
      </c>
      <c r="E16" s="57" t="s">
        <v>53</v>
      </c>
    </row>
    <row r="17" customFormat="false" ht="14.25" hidden="false" customHeight="false" outlineLevel="0" collapsed="false">
      <c r="C17" s="54" t="s">
        <v>133</v>
      </c>
      <c r="D17" s="55" t="s">
        <v>134</v>
      </c>
      <c r="E17" s="56" t="s">
        <v>72</v>
      </c>
    </row>
    <row r="18" customFormat="false" ht="14.25" hidden="false" customHeight="false" outlineLevel="0" collapsed="false">
      <c r="C18" s="54" t="s">
        <v>142</v>
      </c>
      <c r="D18" s="55"/>
      <c r="E18" s="57" t="s">
        <v>30</v>
      </c>
    </row>
    <row r="19" customFormat="false" ht="14.25" hidden="false" customHeight="false" outlineLevel="0" collapsed="false">
      <c r="C19" s="54" t="s">
        <v>102</v>
      </c>
      <c r="D19" s="55" t="s">
        <v>103</v>
      </c>
      <c r="E19" s="56" t="s">
        <v>72</v>
      </c>
    </row>
    <row r="20" customFormat="false" ht="14.25" hidden="false" customHeight="false" outlineLevel="0" collapsed="false">
      <c r="C20" s="54" t="s">
        <v>52</v>
      </c>
      <c r="D20" s="55"/>
      <c r="E20" s="57" t="s">
        <v>53</v>
      </c>
    </row>
    <row r="21" customFormat="false" ht="28.5" hidden="false" customHeight="true" outlineLevel="0" collapsed="false">
      <c r="C21" s="54" t="s">
        <v>121</v>
      </c>
      <c r="D21" s="55" t="s">
        <v>122</v>
      </c>
      <c r="E21" s="57" t="s">
        <v>53</v>
      </c>
    </row>
    <row r="22" customFormat="false" ht="14.25" hidden="false" customHeight="false" outlineLevel="0" collapsed="false">
      <c r="C22" s="54" t="s">
        <v>45</v>
      </c>
      <c r="D22" s="55" t="s">
        <v>46</v>
      </c>
      <c r="E22" s="57" t="s">
        <v>30</v>
      </c>
    </row>
    <row r="23" customFormat="false" ht="14.25" hidden="false" customHeight="false" outlineLevel="0" collapsed="false">
      <c r="C23" s="54" t="s">
        <v>60</v>
      </c>
      <c r="D23" s="55" t="s">
        <v>61</v>
      </c>
      <c r="E23" s="57" t="s">
        <v>53</v>
      </c>
    </row>
    <row r="24" customFormat="false" ht="14.25" hidden="false" customHeight="false" outlineLevel="0" collapsed="false">
      <c r="C24" s="54" t="s">
        <v>145</v>
      </c>
      <c r="D24" s="55"/>
      <c r="E24" s="57" t="s">
        <v>30</v>
      </c>
    </row>
    <row r="25" customFormat="false" ht="14.25" hidden="false" customHeight="false" outlineLevel="0" collapsed="false">
      <c r="C25" s="54" t="s">
        <v>71</v>
      </c>
      <c r="D25" s="55" t="s">
        <v>73</v>
      </c>
      <c r="E25" s="56" t="s">
        <v>72</v>
      </c>
    </row>
    <row r="26" customFormat="false" ht="14.25" hidden="false" customHeight="false" outlineLevel="0" collapsed="false">
      <c r="C26" s="54" t="s">
        <v>148</v>
      </c>
      <c r="D26" s="55"/>
      <c r="E26" s="57" t="s">
        <v>30</v>
      </c>
    </row>
    <row r="27" customFormat="false" ht="28.5" hidden="false" customHeight="true" outlineLevel="0" collapsed="false">
      <c r="C27" s="54" t="s">
        <v>106</v>
      </c>
      <c r="D27" s="55" t="s">
        <v>107</v>
      </c>
      <c r="E27" s="57" t="s">
        <v>53</v>
      </c>
    </row>
    <row r="28" customFormat="false" ht="14.25" hidden="false" customHeight="false" outlineLevel="0" collapsed="false">
      <c r="C28" s="54" t="s">
        <v>49</v>
      </c>
      <c r="D28" s="55"/>
      <c r="E28" s="57" t="s">
        <v>30</v>
      </c>
    </row>
    <row r="29" customFormat="false" ht="14.25" hidden="false" customHeight="false" outlineLevel="0" collapsed="false">
      <c r="C29" s="54" t="s">
        <v>114</v>
      </c>
      <c r="D29" s="55"/>
      <c r="E29" s="57" t="s">
        <v>30</v>
      </c>
    </row>
    <row r="30" customFormat="false" ht="14.25" hidden="false" customHeight="false" outlineLevel="0" collapsed="false">
      <c r="C30" s="54" t="s">
        <v>117</v>
      </c>
      <c r="D30" s="55" t="s">
        <v>118</v>
      </c>
      <c r="E30" s="56" t="s">
        <v>72</v>
      </c>
    </row>
    <row r="31" customFormat="false" ht="14.25" hidden="false" customHeight="false" outlineLevel="0" collapsed="false">
      <c r="C31" s="54" t="s">
        <v>151</v>
      </c>
      <c r="D31" s="55"/>
      <c r="E31" s="57" t="s">
        <v>30</v>
      </c>
    </row>
    <row r="32" customFormat="false" ht="28.5" hidden="false" customHeight="true" outlineLevel="0" collapsed="false">
      <c r="C32" s="54" t="s">
        <v>110</v>
      </c>
      <c r="D32" s="55" t="s">
        <v>111</v>
      </c>
      <c r="E32" s="56" t="s">
        <v>72</v>
      </c>
    </row>
    <row r="33" customFormat="false" ht="14.25" hidden="false" customHeight="false" outlineLevel="0" collapsed="false">
      <c r="C33" s="54" t="s">
        <v>80</v>
      </c>
      <c r="D33" s="55"/>
      <c r="E33" s="57" t="s">
        <v>30</v>
      </c>
    </row>
    <row r="34" customFormat="false" ht="14.25" hidden="false" customHeight="false" outlineLevel="0" collapsed="false">
      <c r="C34" s="54" t="s">
        <v>56</v>
      </c>
      <c r="D34" s="55" t="s">
        <v>57</v>
      </c>
      <c r="E34" s="57" t="s">
        <v>53</v>
      </c>
    </row>
    <row r="35" customFormat="false" ht="15" hidden="false" customHeight="true" outlineLevel="0" collapsed="false">
      <c r="C35" s="58" t="s">
        <v>64</v>
      </c>
      <c r="D35" s="59"/>
      <c r="E35" s="60" t="s">
        <v>30</v>
      </c>
    </row>
  </sheetData>
  <autoFilter ref="C4:E35">
    <sortState ref="C5:E35">
      <sortCondition ref="A5:A35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2025-09-16T06:37:42Z</dcterms:created>
  <dc:creator>Hashir Faraz</dc:creator>
  <dc:description/>
  <dc:language>en-US</dc:language>
  <cp:lastModifiedBy>Hashir Faraz</cp:lastModifiedBy>
  <dcterms:modified xsi:type="dcterms:W3CDTF">2026-07-27T14:16:59Z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