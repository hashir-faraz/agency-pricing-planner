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Build" sheetId="3" state="visible" r:id="rId5"/>
    <sheet name="Stag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<sst xmlns="http://schemas.openxmlformats.org/spreadsheetml/2006/main" count="129" uniqueCount="72">
  <si>
    <t xml:space="preserve">SPORTS MEDIA PLATFORM — MULTI-ROUND REVENUE MODEL</t>
  </si>
  <si>
    <t xml:space="preserve">Digital Sports Media  ·  Seed → Series C  ·  Investor Base Case</t>
  </si>
  <si>
    <t xml:space="preserve">OVERVIEW</t>
  </si>
  <si>
    <t xml:space="preserve">Driver-based revenue model for a multi-vertical sports media platform across four funding stages. Monthly active users convert to subscriptions and in-app advertising; a content site monetises page views through programmatic CPM; an agency arm adds B2B retainers. Each stage upgrades the growth, conversion and pricing drivers. Yellow cells are analyst estimates — change any of them to restate the model.</t>
  </si>
  <si>
    <t xml:space="preserve">TABS</t>
  </si>
  <si>
    <t xml:space="preserve">1  ·  Assumptions — stage-by-stage drivers (Seed / A / B / C)</t>
  </si>
  <si>
    <t xml:space="preserve">2  ·  Revenue Build — 48-month engine across all four stages</t>
  </si>
  <si>
    <t xml:space="preserve">3  ·  Stage Summary — revenue by stream and stage, exit run-rates</t>
  </si>
  <si>
    <t xml:space="preserve">COLOUR LEGEND</t>
  </si>
  <si>
    <t xml:space="preserve">Blue = given / benchmark input</t>
  </si>
  <si>
    <t xml:space="preserve">Blue on yellow = analyst estimate — stress-test freely</t>
  </si>
  <si>
    <t xml:space="preserve">Black = formula — do not overwrite</t>
  </si>
  <si>
    <t xml:space="preserve">Green = cross-tab link — do not overwrite</t>
  </si>
  <si>
    <t xml:space="preserve">SPORTS MEDIA PLATFORM  |  STAGE ASSUMPTIONS</t>
  </si>
  <si>
    <t xml:space="preserve">Columns are funding stages. Each stage runs 12 months in the Revenue Build.</t>
  </si>
  <si>
    <t xml:space="preserve">Driver</t>
  </si>
  <si>
    <t xml:space="preserve">Seed</t>
  </si>
  <si>
    <t xml:space="preserve">Series A</t>
  </si>
  <si>
    <t xml:space="preserve">Series B</t>
  </si>
  <si>
    <t xml:space="preserve">Series C</t>
  </si>
  <si>
    <t xml:space="preserve">Notes</t>
  </si>
  <si>
    <t xml:space="preserve">App verticals live</t>
  </si>
  <si>
    <t xml:space="preserve">Rugby first; football and cricket apps launch at A and B.</t>
  </si>
  <si>
    <t xml:space="preserve">MAU — start of stage (first vertical seeds at launch)</t>
  </si>
  <si>
    <t xml:space="preserve">—</t>
  </si>
  <si>
    <t xml:space="preserve">Later stages inherit the prior stage closing MAU.</t>
  </si>
  <si>
    <t xml:space="preserve">MAU monthly growth rate</t>
  </si>
  <si>
    <t xml:space="preserve">Growth moderates as the base scales.</t>
  </si>
  <si>
    <t xml:space="preserve">New-vertical MAU injection at stage start</t>
  </si>
  <si>
    <t xml:space="preserve">Users added when a new vertical app launches.</t>
  </si>
  <si>
    <t xml:space="preserve">Subscription conversion rate</t>
  </si>
  <si>
    <t xml:space="preserve">Share of MAU on the ad-free tier.</t>
  </si>
  <si>
    <t xml:space="preserve">Subscription price — $ / month</t>
  </si>
  <si>
    <t xml:space="preserve">Benchmark pricing steps up with product depth.</t>
  </si>
  <si>
    <t xml:space="preserve">In-app ad revenue — $ / MAU / month</t>
  </si>
  <si>
    <t xml:space="preserve">Programmatic + sponsorship yield per active user.</t>
  </si>
  <si>
    <t xml:space="preserve">Site page views — start of stage</t>
  </si>
  <si>
    <t xml:space="preserve">Content site traffic; later stages inherit prior closing.</t>
  </si>
  <si>
    <t xml:space="preserve">Page view monthly growth rate</t>
  </si>
  <si>
    <t xml:space="preserve">SEO compounding early, moderating later.</t>
  </si>
  <si>
    <t xml:space="preserve">Ad slots per page</t>
  </si>
  <si>
    <t xml:space="preserve">Display placements per article view.</t>
  </si>
  <si>
    <t xml:space="preserve">CPM — $ per 1,000 impressions</t>
  </si>
  <si>
    <t xml:space="preserve">Sports content benchmark CPM.</t>
  </si>
  <si>
    <t xml:space="preserve">Agency &amp; B2B income — $ / month</t>
  </si>
  <si>
    <t xml:space="preserve">Consulting retainers and business development collabs.</t>
  </si>
  <si>
    <t xml:space="preserve">SPORTS MEDIA PLATFORM  |  REVENUE BUILD — 48 MONTHS</t>
  </si>
  <si>
    <t xml:space="preserve">Stage = ceiling(month / 12). Drivers pull per-stage from Assumptions. Green = cross-tab pull.</t>
  </si>
  <si>
    <t xml:space="preserve">Month</t>
  </si>
  <si>
    <t xml:space="preserve">Stage</t>
  </si>
  <si>
    <t xml:space="preserve">MAU — platform total</t>
  </si>
  <si>
    <t xml:space="preserve">Subscribers</t>
  </si>
  <si>
    <t xml:space="preserve">Subscription revenue — $</t>
  </si>
  <si>
    <t xml:space="preserve">In-app ad revenue — $</t>
  </si>
  <si>
    <t xml:space="preserve">Site page views</t>
  </si>
  <si>
    <t xml:space="preserve">Impressions</t>
  </si>
  <si>
    <t xml:space="preserve">Web ad revenue — $</t>
  </si>
  <si>
    <t xml:space="preserve">Agency &amp; B2B revenue — $</t>
  </si>
  <si>
    <t xml:space="preserve">TOTAL REVENUE — $ / month</t>
  </si>
  <si>
    <t xml:space="preserve">SPORTS MEDIA PLATFORM  |  STAGE SUMMARY</t>
  </si>
  <si>
    <t xml:space="preserve">Annualised revenue by stream and stage; exit metrics per stage.</t>
  </si>
  <si>
    <t xml:space="preserve">Revenue Stream</t>
  </si>
  <si>
    <t xml:space="preserve">4-Stage Total</t>
  </si>
  <si>
    <t xml:space="preserve">Subscriptions</t>
  </si>
  <si>
    <t xml:space="preserve">In-app advertising</t>
  </si>
  <si>
    <t xml:space="preserve">Web advertising</t>
  </si>
  <si>
    <t xml:space="preserve">Agency &amp; B2B</t>
  </si>
  <si>
    <t xml:space="preserve">TOTAL REVENUE</t>
  </si>
  <si>
    <t xml:space="preserve">EXIT METRICS  (final month of stage)</t>
  </si>
  <si>
    <t xml:space="preserve">MAU — closing</t>
  </si>
  <si>
    <t xml:space="preserve">Monthly revenue run-rate — closing</t>
  </si>
  <si>
    <t xml:space="preserve">Implied ARR at stage exit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</si>
</sst>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"/>
    <numFmt numFmtId="168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60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6" t="s">
        <v>9</v>
      </c>
    </row>
    <row r="15" customFormat="false" ht="15" hidden="false" customHeight="false" outlineLevel="0" collapsed="false">
      <c r="B15" s="7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3"/>
    <col collapsed="false" customWidth="true" hidden="false" outlineLevel="0" max="6" min="6" style="0" width="64"/>
  </cols>
  <sheetData>
    <row r="1" customFormat="false" ht="15" hidden="false" customHeight="false" outlineLevel="0" collapsed="false">
      <c r="A1" s="3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9" t="s">
        <v>20</v>
      </c>
    </row>
    <row r="5" customFormat="false" ht="15" hidden="false" customHeight="false" outlineLevel="0" collapsed="false">
      <c r="A5" s="5" t="s">
        <v>21</v>
      </c>
      <c r="B5" s="11" t="n">
        <v>1</v>
      </c>
      <c r="C5" s="11" t="n">
        <v>2</v>
      </c>
      <c r="D5" s="11" t="n">
        <v>3</v>
      </c>
      <c r="E5" s="11" t="n">
        <v>3</v>
      </c>
      <c r="F5" s="2" t="s">
        <v>22</v>
      </c>
    </row>
    <row r="6" customFormat="false" ht="15" hidden="false" customHeight="false" outlineLevel="0" collapsed="false">
      <c r="A6" s="5" t="s">
        <v>23</v>
      </c>
      <c r="B6" s="11" t="n">
        <v>25000</v>
      </c>
      <c r="C6" s="12" t="s">
        <v>24</v>
      </c>
      <c r="D6" s="12" t="s">
        <v>24</v>
      </c>
      <c r="E6" s="12" t="s">
        <v>24</v>
      </c>
      <c r="F6" s="2" t="s">
        <v>25</v>
      </c>
    </row>
    <row r="7" customFormat="false" ht="15" hidden="false" customHeight="false" outlineLevel="0" collapsed="false">
      <c r="A7" s="5" t="s">
        <v>26</v>
      </c>
      <c r="B7" s="13" t="n">
        <v>0.1</v>
      </c>
      <c r="C7" s="13" t="n">
        <v>0.09</v>
      </c>
      <c r="D7" s="13" t="n">
        <v>0.07</v>
      </c>
      <c r="E7" s="13" t="n">
        <v>0.05</v>
      </c>
      <c r="F7" s="2" t="s">
        <v>27</v>
      </c>
    </row>
    <row r="8" customFormat="false" ht="15" hidden="false" customHeight="false" outlineLevel="0" collapsed="false">
      <c r="A8" s="5" t="s">
        <v>28</v>
      </c>
      <c r="B8" s="14" t="n">
        <v>0</v>
      </c>
      <c r="C8" s="14" t="n">
        <v>40000</v>
      </c>
      <c r="D8" s="14" t="n">
        <v>60000</v>
      </c>
      <c r="E8" s="14" t="n">
        <v>0</v>
      </c>
      <c r="F8" s="2" t="s">
        <v>29</v>
      </c>
    </row>
    <row r="9" customFormat="false" ht="15" hidden="false" customHeight="false" outlineLevel="0" collapsed="false">
      <c r="A9" s="5" t="s">
        <v>30</v>
      </c>
      <c r="B9" s="13" t="n">
        <v>0.03</v>
      </c>
      <c r="C9" s="13" t="n">
        <v>0.035</v>
      </c>
      <c r="D9" s="13" t="n">
        <v>0.04</v>
      </c>
      <c r="E9" s="13" t="n">
        <v>0.045</v>
      </c>
      <c r="F9" s="2" t="s">
        <v>31</v>
      </c>
    </row>
    <row r="10" customFormat="false" ht="15" hidden="false" customHeight="false" outlineLevel="0" collapsed="false">
      <c r="A10" s="5" t="s">
        <v>32</v>
      </c>
      <c r="B10" s="15" t="n">
        <v>2</v>
      </c>
      <c r="C10" s="15" t="n">
        <v>3.5</v>
      </c>
      <c r="D10" s="15" t="n">
        <v>4</v>
      </c>
      <c r="E10" s="15" t="n">
        <v>4.5</v>
      </c>
      <c r="F10" s="2" t="s">
        <v>33</v>
      </c>
    </row>
    <row r="11" customFormat="false" ht="15" hidden="false" customHeight="false" outlineLevel="0" collapsed="false">
      <c r="A11" s="5" t="s">
        <v>34</v>
      </c>
      <c r="B11" s="15" t="n">
        <v>0.1</v>
      </c>
      <c r="C11" s="15" t="n">
        <v>0.12</v>
      </c>
      <c r="D11" s="15" t="n">
        <v>0.14</v>
      </c>
      <c r="E11" s="15" t="n">
        <v>0.16</v>
      </c>
      <c r="F11" s="2" t="s">
        <v>35</v>
      </c>
    </row>
    <row r="12" customFormat="false" ht="15" hidden="false" customHeight="false" outlineLevel="0" collapsed="false">
      <c r="A12" s="5" t="s">
        <v>36</v>
      </c>
      <c r="B12" s="11" t="n">
        <v>40000</v>
      </c>
      <c r="C12" s="12" t="s">
        <v>24</v>
      </c>
      <c r="D12" s="12" t="s">
        <v>24</v>
      </c>
      <c r="E12" s="12" t="s">
        <v>24</v>
      </c>
      <c r="F12" s="2" t="s">
        <v>37</v>
      </c>
    </row>
    <row r="13" customFormat="false" ht="15" hidden="false" customHeight="false" outlineLevel="0" collapsed="false">
      <c r="A13" s="5" t="s">
        <v>38</v>
      </c>
      <c r="B13" s="13" t="n">
        <v>0.15</v>
      </c>
      <c r="C13" s="13" t="n">
        <v>0.12</v>
      </c>
      <c r="D13" s="13" t="n">
        <v>0.09</v>
      </c>
      <c r="E13" s="13" t="n">
        <v>0.06</v>
      </c>
      <c r="F13" s="2" t="s">
        <v>39</v>
      </c>
    </row>
    <row r="14" customFormat="false" ht="15" hidden="false" customHeight="false" outlineLevel="0" collapsed="false">
      <c r="A14" s="5" t="s">
        <v>40</v>
      </c>
      <c r="B14" s="11" t="n">
        <v>3</v>
      </c>
      <c r="C14" s="11" t="n">
        <v>3</v>
      </c>
      <c r="D14" s="11" t="n">
        <v>4</v>
      </c>
      <c r="E14" s="11" t="n">
        <v>4</v>
      </c>
      <c r="F14" s="2" t="s">
        <v>41</v>
      </c>
    </row>
    <row r="15" customFormat="false" ht="15" hidden="false" customHeight="false" outlineLevel="0" collapsed="false">
      <c r="A15" s="5" t="s">
        <v>42</v>
      </c>
      <c r="B15" s="15" t="n">
        <v>4.5</v>
      </c>
      <c r="C15" s="15" t="n">
        <v>4.5</v>
      </c>
      <c r="D15" s="15" t="n">
        <v>5</v>
      </c>
      <c r="E15" s="15" t="n">
        <v>5.5</v>
      </c>
      <c r="F15" s="2" t="s">
        <v>43</v>
      </c>
    </row>
    <row r="16" customFormat="false" ht="15" hidden="false" customHeight="false" outlineLevel="0" collapsed="false">
      <c r="A16" s="5" t="s">
        <v>44</v>
      </c>
      <c r="B16" s="14" t="n">
        <v>27500</v>
      </c>
      <c r="C16" s="14" t="n">
        <v>45000</v>
      </c>
      <c r="D16" s="14" t="n">
        <v>70000</v>
      </c>
      <c r="E16" s="14" t="n">
        <v>100000</v>
      </c>
      <c r="F16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1" min="2" style="0" width="11"/>
  </cols>
  <sheetData>
    <row r="1" customFormat="false" ht="15" hidden="false" customHeight="false" outlineLevel="0" collapsed="false">
      <c r="A1" s="3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9" t="s">
        <v>48</v>
      </c>
      <c r="B4" s="10" t="n">
        <v>1</v>
      </c>
      <c r="C4" s="10" t="n">
        <v>2</v>
      </c>
      <c r="D4" s="10" t="n">
        <v>3</v>
      </c>
      <c r="E4" s="10" t="n">
        <v>4</v>
      </c>
      <c r="F4" s="10" t="n">
        <v>5</v>
      </c>
      <c r="G4" s="10" t="n">
        <v>6</v>
      </c>
      <c r="H4" s="10" t="n">
        <v>7</v>
      </c>
      <c r="I4" s="10" t="n">
        <v>8</v>
      </c>
      <c r="J4" s="10" t="n">
        <v>9</v>
      </c>
      <c r="K4" s="10" t="n">
        <v>10</v>
      </c>
      <c r="L4" s="10" t="n">
        <v>11</v>
      </c>
      <c r="M4" s="10" t="n">
        <v>12</v>
      </c>
      <c r="N4" s="10" t="n">
        <v>13</v>
      </c>
      <c r="O4" s="10" t="n">
        <v>14</v>
      </c>
      <c r="P4" s="10" t="n">
        <v>15</v>
      </c>
      <c r="Q4" s="10" t="n">
        <v>16</v>
      </c>
      <c r="R4" s="10" t="n">
        <v>17</v>
      </c>
      <c r="S4" s="10" t="n">
        <v>18</v>
      </c>
      <c r="T4" s="10" t="n">
        <v>19</v>
      </c>
      <c r="U4" s="10" t="n">
        <v>20</v>
      </c>
      <c r="V4" s="10" t="n">
        <v>21</v>
      </c>
      <c r="W4" s="10" t="n">
        <v>22</v>
      </c>
      <c r="X4" s="10" t="n">
        <v>23</v>
      </c>
      <c r="Y4" s="10" t="n">
        <v>24</v>
      </c>
      <c r="Z4" s="10" t="n">
        <v>25</v>
      </c>
      <c r="AA4" s="10" t="n">
        <v>26</v>
      </c>
      <c r="AB4" s="10" t="n">
        <v>27</v>
      </c>
      <c r="AC4" s="10" t="n">
        <v>28</v>
      </c>
      <c r="AD4" s="10" t="n">
        <v>29</v>
      </c>
      <c r="AE4" s="10" t="n">
        <v>30</v>
      </c>
      <c r="AF4" s="10" t="n">
        <v>31</v>
      </c>
      <c r="AG4" s="10" t="n">
        <v>32</v>
      </c>
      <c r="AH4" s="10" t="n">
        <v>33</v>
      </c>
      <c r="AI4" s="10" t="n">
        <v>34</v>
      </c>
      <c r="AJ4" s="10" t="n">
        <v>35</v>
      </c>
      <c r="AK4" s="10" t="n">
        <v>36</v>
      </c>
      <c r="AL4" s="10" t="n">
        <v>37</v>
      </c>
      <c r="AM4" s="10" t="n">
        <v>38</v>
      </c>
      <c r="AN4" s="10" t="n">
        <v>39</v>
      </c>
      <c r="AO4" s="10" t="n">
        <v>40</v>
      </c>
      <c r="AP4" s="10" t="n">
        <v>41</v>
      </c>
      <c r="AQ4" s="10" t="n">
        <v>42</v>
      </c>
      <c r="AR4" s="10" t="n">
        <v>43</v>
      </c>
      <c r="AS4" s="10" t="n">
        <v>44</v>
      </c>
      <c r="AT4" s="10" t="n">
        <v>45</v>
      </c>
      <c r="AU4" s="10" t="n">
        <v>46</v>
      </c>
      <c r="AV4" s="10" t="n">
        <v>47</v>
      </c>
      <c r="AW4" s="10" t="n">
        <v>48</v>
      </c>
    </row>
    <row r="5" customFormat="false" ht="15" hidden="false" customHeight="false" outlineLevel="0" collapsed="false">
      <c r="A5" s="9" t="s">
        <v>49</v>
      </c>
      <c r="B5" s="10" t="s">
        <v>16</v>
      </c>
      <c r="C5" s="10" t="s">
        <v>16</v>
      </c>
      <c r="D5" s="10" t="s">
        <v>16</v>
      </c>
      <c r="E5" s="10" t="s">
        <v>16</v>
      </c>
      <c r="F5" s="10" t="s">
        <v>16</v>
      </c>
      <c r="G5" s="10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  <c r="M5" s="10" t="s">
        <v>16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18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18</v>
      </c>
      <c r="AG5" s="10" t="s">
        <v>18</v>
      </c>
      <c r="AH5" s="10" t="s">
        <v>18</v>
      </c>
      <c r="AI5" s="10" t="s">
        <v>18</v>
      </c>
      <c r="AJ5" s="10" t="s">
        <v>18</v>
      </c>
      <c r="AK5" s="10" t="s">
        <v>18</v>
      </c>
      <c r="AL5" s="10" t="s">
        <v>19</v>
      </c>
      <c r="AM5" s="10" t="s">
        <v>19</v>
      </c>
      <c r="AN5" s="10" t="s">
        <v>19</v>
      </c>
      <c r="AO5" s="10" t="s">
        <v>19</v>
      </c>
      <c r="AP5" s="10" t="s">
        <v>19</v>
      </c>
      <c r="AQ5" s="10" t="s">
        <v>19</v>
      </c>
      <c r="AR5" s="10" t="s">
        <v>19</v>
      </c>
      <c r="AS5" s="10" t="s">
        <v>19</v>
      </c>
      <c r="AT5" s="10" t="s">
        <v>19</v>
      </c>
      <c r="AU5" s="10" t="s">
        <v>19</v>
      </c>
      <c r="AV5" s="10" t="s">
        <v>19</v>
      </c>
      <c r="AW5" s="10" t="s">
        <v>19</v>
      </c>
    </row>
    <row r="7" customFormat="false" ht="15" hidden="false" customHeight="false" outlineLevel="0" collapsed="false">
      <c r="A7" s="16" t="s">
        <v>50</v>
      </c>
      <c r="B7" s="17" t="n">
        <f aca="false">Assumptions!B6</f>
        <v>25000</v>
      </c>
      <c r="C7" s="18" t="n">
        <f aca="false">B7*(1+Assumptions!B$7)</f>
        <v>27500</v>
      </c>
      <c r="D7" s="18" t="n">
        <f aca="false">C7*(1+Assumptions!B$7)</f>
        <v>30250</v>
      </c>
      <c r="E7" s="18" t="n">
        <f aca="false">D7*(1+Assumptions!B$7)</f>
        <v>33275</v>
      </c>
      <c r="F7" s="18" t="n">
        <f aca="false">E7*(1+Assumptions!B$7)</f>
        <v>36602.5</v>
      </c>
      <c r="G7" s="18" t="n">
        <f aca="false">F7*(1+Assumptions!B$7)</f>
        <v>40262.75</v>
      </c>
      <c r="H7" s="18" t="n">
        <f aca="false">G7*(1+Assumptions!B$7)</f>
        <v>44289.025</v>
      </c>
      <c r="I7" s="18" t="n">
        <f aca="false">H7*(1+Assumptions!B$7)</f>
        <v>48717.9275</v>
      </c>
      <c r="J7" s="18" t="n">
        <f aca="false">I7*(1+Assumptions!B$7)</f>
        <v>53589.72025</v>
      </c>
      <c r="K7" s="18" t="n">
        <f aca="false">J7*(1+Assumptions!B$7)</f>
        <v>58948.6922750001</v>
      </c>
      <c r="L7" s="18" t="n">
        <f aca="false">K7*(1+Assumptions!B$7)</f>
        <v>64843.5615025001</v>
      </c>
      <c r="M7" s="18" t="n">
        <f aca="false">L7*(1+Assumptions!B$7)</f>
        <v>71327.9176527501</v>
      </c>
      <c r="N7" s="18" t="n">
        <f aca="false">M7*(1+Assumptions!C$7)+Assumptions!C8</f>
        <v>117747.430241498</v>
      </c>
      <c r="O7" s="18" t="n">
        <f aca="false">N7*(1+Assumptions!C$7)</f>
        <v>128344.698963232</v>
      </c>
      <c r="P7" s="18" t="n">
        <f aca="false">O7*(1+Assumptions!C$7)</f>
        <v>139895.721869923</v>
      </c>
      <c r="Q7" s="18" t="n">
        <f aca="false">P7*(1+Assumptions!C$7)</f>
        <v>152486.336838216</v>
      </c>
      <c r="R7" s="18" t="n">
        <f aca="false">Q7*(1+Assumptions!C$7)</f>
        <v>166210.107153656</v>
      </c>
      <c r="S7" s="18" t="n">
        <f aca="false">R7*(1+Assumptions!C$7)</f>
        <v>181169.016797485</v>
      </c>
      <c r="T7" s="18" t="n">
        <f aca="false">S7*(1+Assumptions!C$7)</f>
        <v>197474.228309259</v>
      </c>
      <c r="U7" s="18" t="n">
        <f aca="false">T7*(1+Assumptions!C$7)</f>
        <v>215246.908857092</v>
      </c>
      <c r="V7" s="18" t="n">
        <f aca="false">U7*(1+Assumptions!C$7)</f>
        <v>234619.13065423</v>
      </c>
      <c r="W7" s="18" t="n">
        <f aca="false">V7*(1+Assumptions!C$7)</f>
        <v>255734.852413111</v>
      </c>
      <c r="X7" s="18" t="n">
        <f aca="false">W7*(1+Assumptions!C$7)</f>
        <v>278750.989130291</v>
      </c>
      <c r="Y7" s="18" t="n">
        <f aca="false">X7*(1+Assumptions!C$7)</f>
        <v>303838.578152017</v>
      </c>
      <c r="Z7" s="18" t="n">
        <f aca="false">Y7*(1+Assumptions!D$7)+Assumptions!D8</f>
        <v>385107.278622658</v>
      </c>
      <c r="AA7" s="18" t="n">
        <f aca="false">Z7*(1+Assumptions!D$7)</f>
        <v>412064.788126245</v>
      </c>
      <c r="AB7" s="18" t="n">
        <f aca="false">AA7*(1+Assumptions!D$7)</f>
        <v>440909.323295082</v>
      </c>
      <c r="AC7" s="18" t="n">
        <f aca="false">AB7*(1+Assumptions!D$7)</f>
        <v>471772.975925737</v>
      </c>
      <c r="AD7" s="18" t="n">
        <f aca="false">AC7*(1+Assumptions!D$7)</f>
        <v>504797.084240539</v>
      </c>
      <c r="AE7" s="18" t="n">
        <f aca="false">AD7*(1+Assumptions!D$7)</f>
        <v>540132.880137377</v>
      </c>
      <c r="AF7" s="18" t="n">
        <f aca="false">AE7*(1+Assumptions!D$7)</f>
        <v>577942.181746993</v>
      </c>
      <c r="AG7" s="18" t="n">
        <f aca="false">AF7*(1+Assumptions!D$7)</f>
        <v>618398.134469283</v>
      </c>
      <c r="AH7" s="18" t="n">
        <f aca="false">AG7*(1+Assumptions!D$7)</f>
        <v>661686.003882133</v>
      </c>
      <c r="AI7" s="18" t="n">
        <f aca="false">AH7*(1+Assumptions!D$7)</f>
        <v>708004.024153882</v>
      </c>
      <c r="AJ7" s="18" t="n">
        <f aca="false">AI7*(1+Assumptions!D$7)</f>
        <v>757564.305844654</v>
      </c>
      <c r="AK7" s="18" t="n">
        <f aca="false">AJ7*(1+Assumptions!D$7)</f>
        <v>810593.807253779</v>
      </c>
      <c r="AL7" s="18" t="n">
        <f aca="false">AK7*(1+Assumptions!E$7)+Assumptions!E8</f>
        <v>851123.497616468</v>
      </c>
      <c r="AM7" s="18" t="n">
        <f aca="false">AL7*(1+Assumptions!E$7)</f>
        <v>893679.672497292</v>
      </c>
      <c r="AN7" s="18" t="n">
        <f aca="false">AM7*(1+Assumptions!E$7)</f>
        <v>938363.656122156</v>
      </c>
      <c r="AO7" s="18" t="n">
        <f aca="false">AN7*(1+Assumptions!E$7)</f>
        <v>985281.838928264</v>
      </c>
      <c r="AP7" s="18" t="n">
        <f aca="false">AO7*(1+Assumptions!E$7)</f>
        <v>1034545.93087468</v>
      </c>
      <c r="AQ7" s="18" t="n">
        <f aca="false">AP7*(1+Assumptions!E$7)</f>
        <v>1086273.22741841</v>
      </c>
      <c r="AR7" s="18" t="n">
        <f aca="false">AQ7*(1+Assumptions!E$7)</f>
        <v>1140586.88878933</v>
      </c>
      <c r="AS7" s="18" t="n">
        <f aca="false">AR7*(1+Assumptions!E$7)</f>
        <v>1197616.2332288</v>
      </c>
      <c r="AT7" s="18" t="n">
        <f aca="false">AS7*(1+Assumptions!E$7)</f>
        <v>1257497.04489024</v>
      </c>
      <c r="AU7" s="18" t="n">
        <f aca="false">AT7*(1+Assumptions!E$7)</f>
        <v>1320371.89713475</v>
      </c>
      <c r="AV7" s="18" t="n">
        <f aca="false">AU7*(1+Assumptions!E$7)</f>
        <v>1386390.49199149</v>
      </c>
      <c r="AW7" s="18" t="n">
        <f aca="false">AV7*(1+Assumptions!E$7)</f>
        <v>1455710.01659106</v>
      </c>
    </row>
    <row r="8" customFormat="false" ht="15" hidden="false" customHeight="false" outlineLevel="0" collapsed="false">
      <c r="A8" s="5" t="s">
        <v>51</v>
      </c>
      <c r="B8" s="18" t="n">
        <f aca="false">B7*Assumptions!B$9</f>
        <v>750</v>
      </c>
      <c r="C8" s="18" t="n">
        <f aca="false">C7*Assumptions!B$9</f>
        <v>825</v>
      </c>
      <c r="D8" s="18" t="n">
        <f aca="false">D7*Assumptions!B$9</f>
        <v>907.5</v>
      </c>
      <c r="E8" s="18" t="n">
        <f aca="false">E7*Assumptions!B$9</f>
        <v>998.25</v>
      </c>
      <c r="F8" s="18" t="n">
        <f aca="false">F7*Assumptions!B$9</f>
        <v>1098.075</v>
      </c>
      <c r="G8" s="18" t="n">
        <f aca="false">G7*Assumptions!B$9</f>
        <v>1207.8825</v>
      </c>
      <c r="H8" s="18" t="n">
        <f aca="false">H7*Assumptions!B$9</f>
        <v>1328.67075</v>
      </c>
      <c r="I8" s="18" t="n">
        <f aca="false">I7*Assumptions!B$9</f>
        <v>1461.537825</v>
      </c>
      <c r="J8" s="18" t="n">
        <f aca="false">J7*Assumptions!B$9</f>
        <v>1607.6916075</v>
      </c>
      <c r="K8" s="18" t="n">
        <f aca="false">K7*Assumptions!B$9</f>
        <v>1768.46076825</v>
      </c>
      <c r="L8" s="18" t="n">
        <f aca="false">L7*Assumptions!B$9</f>
        <v>1945.306845075</v>
      </c>
      <c r="M8" s="18" t="n">
        <f aca="false">M7*Assumptions!B$9</f>
        <v>2139.8375295825</v>
      </c>
      <c r="N8" s="18" t="n">
        <f aca="false">N7*Assumptions!C$9</f>
        <v>4121.16005845242</v>
      </c>
      <c r="O8" s="18" t="n">
        <f aca="false">O7*Assumptions!C$9</f>
        <v>4492.06446371313</v>
      </c>
      <c r="P8" s="18" t="n">
        <f aca="false">P7*Assumptions!C$9</f>
        <v>4896.35026544732</v>
      </c>
      <c r="Q8" s="18" t="n">
        <f aca="false">Q7*Assumptions!C$9</f>
        <v>5337.02178933758</v>
      </c>
      <c r="R8" s="18" t="n">
        <f aca="false">R7*Assumptions!C$9</f>
        <v>5817.35375037796</v>
      </c>
      <c r="S8" s="18" t="n">
        <f aca="false">S7*Assumptions!C$9</f>
        <v>6340.91558791197</v>
      </c>
      <c r="T8" s="18" t="n">
        <f aca="false">T7*Assumptions!C$9</f>
        <v>6911.59799082405</v>
      </c>
      <c r="U8" s="18" t="n">
        <f aca="false">U7*Assumptions!C$9</f>
        <v>7533.64180999822</v>
      </c>
      <c r="V8" s="18" t="n">
        <f aca="false">V7*Assumptions!C$9</f>
        <v>8211.66957289806</v>
      </c>
      <c r="W8" s="18" t="n">
        <f aca="false">W7*Assumptions!C$9</f>
        <v>8950.71983445889</v>
      </c>
      <c r="X8" s="18" t="n">
        <f aca="false">X7*Assumptions!C$9</f>
        <v>9756.28461956019</v>
      </c>
      <c r="Y8" s="18" t="n">
        <f aca="false">Y7*Assumptions!C$9</f>
        <v>10634.3502353206</v>
      </c>
      <c r="Z8" s="18" t="n">
        <f aca="false">Z7*Assumptions!D$9</f>
        <v>15404.2911449063</v>
      </c>
      <c r="AA8" s="18" t="n">
        <f aca="false">AA7*Assumptions!D$9</f>
        <v>16482.5915250498</v>
      </c>
      <c r="AB8" s="18" t="n">
        <f aca="false">AB7*Assumptions!D$9</f>
        <v>17636.3729318033</v>
      </c>
      <c r="AC8" s="18" t="n">
        <f aca="false">AC7*Assumptions!D$9</f>
        <v>18870.9190370295</v>
      </c>
      <c r="AD8" s="18" t="n">
        <f aca="false">AD7*Assumptions!D$9</f>
        <v>20191.8833696216</v>
      </c>
      <c r="AE8" s="18" t="n">
        <f aca="false">AE7*Assumptions!D$9</f>
        <v>21605.3152054951</v>
      </c>
      <c r="AF8" s="18" t="n">
        <f aca="false">AF7*Assumptions!D$9</f>
        <v>23117.6872698797</v>
      </c>
      <c r="AG8" s="18" t="n">
        <f aca="false">AG7*Assumptions!D$9</f>
        <v>24735.9253787713</v>
      </c>
      <c r="AH8" s="18" t="n">
        <f aca="false">AH7*Assumptions!D$9</f>
        <v>26467.4401552853</v>
      </c>
      <c r="AI8" s="18" t="n">
        <f aca="false">AI7*Assumptions!D$9</f>
        <v>28320.1609661553</v>
      </c>
      <c r="AJ8" s="18" t="n">
        <f aca="false">AJ7*Assumptions!D$9</f>
        <v>30302.5722337861</v>
      </c>
      <c r="AK8" s="18" t="n">
        <f aca="false">AK7*Assumptions!D$9</f>
        <v>32423.7522901512</v>
      </c>
      <c r="AL8" s="18" t="n">
        <f aca="false">AL7*Assumptions!E$9</f>
        <v>38300.5573927411</v>
      </c>
      <c r="AM8" s="18" t="n">
        <f aca="false">AM7*Assumptions!E$9</f>
        <v>40215.5852623781</v>
      </c>
      <c r="AN8" s="18" t="n">
        <f aca="false">AN7*Assumptions!E$9</f>
        <v>42226.364525497</v>
      </c>
      <c r="AO8" s="18" t="n">
        <f aca="false">AO7*Assumptions!E$9</f>
        <v>44337.6827517719</v>
      </c>
      <c r="AP8" s="18" t="n">
        <f aca="false">AP7*Assumptions!E$9</f>
        <v>46554.5668893605</v>
      </c>
      <c r="AQ8" s="18" t="n">
        <f aca="false">AQ7*Assumptions!E$9</f>
        <v>48882.2952338285</v>
      </c>
      <c r="AR8" s="18" t="n">
        <f aca="false">AR7*Assumptions!E$9</f>
        <v>51326.40999552</v>
      </c>
      <c r="AS8" s="18" t="n">
        <f aca="false">AS7*Assumptions!E$9</f>
        <v>53892.730495296</v>
      </c>
      <c r="AT8" s="18" t="n">
        <f aca="false">AT7*Assumptions!E$9</f>
        <v>56587.3670200608</v>
      </c>
      <c r="AU8" s="18" t="n">
        <f aca="false">AU7*Assumptions!E$9</f>
        <v>59416.7353710638</v>
      </c>
      <c r="AV8" s="18" t="n">
        <f aca="false">AV7*Assumptions!E$9</f>
        <v>62387.572139617</v>
      </c>
      <c r="AW8" s="18" t="n">
        <f aca="false">AW7*Assumptions!E$9</f>
        <v>65506.9507465978</v>
      </c>
    </row>
    <row r="9" customFormat="false" ht="15" hidden="false" customHeight="false" outlineLevel="0" collapsed="false">
      <c r="A9" s="5" t="s">
        <v>52</v>
      </c>
      <c r="B9" s="18" t="n">
        <f aca="false">B8*Assumptions!B$10</f>
        <v>1500</v>
      </c>
      <c r="C9" s="18" t="n">
        <f aca="false">C8*Assumptions!B$10</f>
        <v>1650</v>
      </c>
      <c r="D9" s="18" t="n">
        <f aca="false">D8*Assumptions!B$10</f>
        <v>1815</v>
      </c>
      <c r="E9" s="18" t="n">
        <f aca="false">E8*Assumptions!B$10</f>
        <v>1996.5</v>
      </c>
      <c r="F9" s="18" t="n">
        <f aca="false">F8*Assumptions!B$10</f>
        <v>2196.15</v>
      </c>
      <c r="G9" s="18" t="n">
        <f aca="false">G8*Assumptions!B$10</f>
        <v>2415.765</v>
      </c>
      <c r="H9" s="18" t="n">
        <f aca="false">H8*Assumptions!B$10</f>
        <v>2657.3415</v>
      </c>
      <c r="I9" s="18" t="n">
        <f aca="false">I8*Assumptions!B$10</f>
        <v>2923.07565</v>
      </c>
      <c r="J9" s="18" t="n">
        <f aca="false">J8*Assumptions!B$10</f>
        <v>3215.383215</v>
      </c>
      <c r="K9" s="18" t="n">
        <f aca="false">K8*Assumptions!B$10</f>
        <v>3536.9215365</v>
      </c>
      <c r="L9" s="18" t="n">
        <f aca="false">L8*Assumptions!B$10</f>
        <v>3890.61369015</v>
      </c>
      <c r="M9" s="18" t="n">
        <f aca="false">M8*Assumptions!B$10</f>
        <v>4279.67505916501</v>
      </c>
      <c r="N9" s="18" t="n">
        <f aca="false">N8*Assumptions!C$10</f>
        <v>14424.0602045835</v>
      </c>
      <c r="O9" s="18" t="n">
        <f aca="false">O8*Assumptions!C$10</f>
        <v>15722.225622996</v>
      </c>
      <c r="P9" s="18" t="n">
        <f aca="false">P8*Assumptions!C$10</f>
        <v>17137.2259290656</v>
      </c>
      <c r="Q9" s="18" t="n">
        <f aca="false">Q8*Assumptions!C$10</f>
        <v>18679.5762626815</v>
      </c>
      <c r="R9" s="18" t="n">
        <f aca="false">R8*Assumptions!C$10</f>
        <v>20360.7381263229</v>
      </c>
      <c r="S9" s="18" t="n">
        <f aca="false">S8*Assumptions!C$10</f>
        <v>22193.2045576919</v>
      </c>
      <c r="T9" s="18" t="n">
        <f aca="false">T8*Assumptions!C$10</f>
        <v>24190.5929678842</v>
      </c>
      <c r="U9" s="18" t="n">
        <f aca="false">U8*Assumptions!C$10</f>
        <v>26367.7463349938</v>
      </c>
      <c r="V9" s="18" t="n">
        <f aca="false">V8*Assumptions!C$10</f>
        <v>28740.8435051432</v>
      </c>
      <c r="W9" s="18" t="n">
        <f aca="false">W8*Assumptions!C$10</f>
        <v>31327.5194206061</v>
      </c>
      <c r="X9" s="18" t="n">
        <f aca="false">X8*Assumptions!C$10</f>
        <v>34146.9961684606</v>
      </c>
      <c r="Y9" s="18" t="n">
        <f aca="false">Y8*Assumptions!C$10</f>
        <v>37220.2258236221</v>
      </c>
      <c r="Z9" s="18" t="n">
        <f aca="false">Z8*Assumptions!D$10</f>
        <v>61617.1645796253</v>
      </c>
      <c r="AA9" s="18" t="n">
        <f aca="false">AA8*Assumptions!D$10</f>
        <v>65930.3661001991</v>
      </c>
      <c r="AB9" s="18" t="n">
        <f aca="false">AB8*Assumptions!D$10</f>
        <v>70545.4917272131</v>
      </c>
      <c r="AC9" s="18" t="n">
        <f aca="false">AC8*Assumptions!D$10</f>
        <v>75483.676148118</v>
      </c>
      <c r="AD9" s="18" t="n">
        <f aca="false">AD8*Assumptions!D$10</f>
        <v>80767.5334784862</v>
      </c>
      <c r="AE9" s="18" t="n">
        <f aca="false">AE8*Assumptions!D$10</f>
        <v>86421.2608219803</v>
      </c>
      <c r="AF9" s="18" t="n">
        <f aca="false">AF8*Assumptions!D$10</f>
        <v>92470.7490795189</v>
      </c>
      <c r="AG9" s="18" t="n">
        <f aca="false">AG8*Assumptions!D$10</f>
        <v>98943.7015150852</v>
      </c>
      <c r="AH9" s="18" t="n">
        <f aca="false">AH8*Assumptions!D$10</f>
        <v>105869.760621141</v>
      </c>
      <c r="AI9" s="18" t="n">
        <f aca="false">AI8*Assumptions!D$10</f>
        <v>113280.643864621</v>
      </c>
      <c r="AJ9" s="18" t="n">
        <f aca="false">AJ8*Assumptions!D$10</f>
        <v>121210.288935145</v>
      </c>
      <c r="AK9" s="18" t="n">
        <f aca="false">AK8*Assumptions!D$10</f>
        <v>129695.009160605</v>
      </c>
      <c r="AL9" s="18" t="n">
        <f aca="false">AL8*Assumptions!E$10</f>
        <v>172352.508267335</v>
      </c>
      <c r="AM9" s="18" t="n">
        <f aca="false">AM8*Assumptions!E$10</f>
        <v>180970.133680702</v>
      </c>
      <c r="AN9" s="18" t="n">
        <f aca="false">AN8*Assumptions!E$10</f>
        <v>190018.640364737</v>
      </c>
      <c r="AO9" s="18" t="n">
        <f aca="false">AO8*Assumptions!E$10</f>
        <v>199519.572382974</v>
      </c>
      <c r="AP9" s="18" t="n">
        <f aca="false">AP8*Assumptions!E$10</f>
        <v>209495.551002122</v>
      </c>
      <c r="AQ9" s="18" t="n">
        <f aca="false">AQ8*Assumptions!E$10</f>
        <v>219970.328552228</v>
      </c>
      <c r="AR9" s="18" t="n">
        <f aca="false">AR8*Assumptions!E$10</f>
        <v>230968.84497984</v>
      </c>
      <c r="AS9" s="18" t="n">
        <f aca="false">AS8*Assumptions!E$10</f>
        <v>242517.287228832</v>
      </c>
      <c r="AT9" s="18" t="n">
        <f aca="false">AT8*Assumptions!E$10</f>
        <v>254643.151590273</v>
      </c>
      <c r="AU9" s="18" t="n">
        <f aca="false">AU8*Assumptions!E$10</f>
        <v>267375.309169787</v>
      </c>
      <c r="AV9" s="18" t="n">
        <f aca="false">AV8*Assumptions!E$10</f>
        <v>280744.074628276</v>
      </c>
      <c r="AW9" s="18" t="n">
        <f aca="false">AW8*Assumptions!E$10</f>
        <v>294781.27835969</v>
      </c>
    </row>
    <row r="10" customFormat="false" ht="15" hidden="false" customHeight="false" outlineLevel="0" collapsed="false">
      <c r="A10" s="5" t="s">
        <v>53</v>
      </c>
      <c r="B10" s="18" t="n">
        <f aca="false">B7*Assumptions!B$11</f>
        <v>2500</v>
      </c>
      <c r="C10" s="18" t="n">
        <f aca="false">C7*Assumptions!B$11</f>
        <v>2750</v>
      </c>
      <c r="D10" s="18" t="n">
        <f aca="false">D7*Assumptions!B$11</f>
        <v>3025</v>
      </c>
      <c r="E10" s="18" t="n">
        <f aca="false">E7*Assumptions!B$11</f>
        <v>3327.5</v>
      </c>
      <c r="F10" s="18" t="n">
        <f aca="false">F7*Assumptions!B$11</f>
        <v>3660.25</v>
      </c>
      <c r="G10" s="18" t="n">
        <f aca="false">G7*Assumptions!B$11</f>
        <v>4026.275</v>
      </c>
      <c r="H10" s="18" t="n">
        <f aca="false">H7*Assumptions!B$11</f>
        <v>4428.9025</v>
      </c>
      <c r="I10" s="18" t="n">
        <f aca="false">I7*Assumptions!B$11</f>
        <v>4871.79275</v>
      </c>
      <c r="J10" s="18" t="n">
        <f aca="false">J7*Assumptions!B$11</f>
        <v>5358.97202500001</v>
      </c>
      <c r="K10" s="18" t="n">
        <f aca="false">K7*Assumptions!B$11</f>
        <v>5894.86922750001</v>
      </c>
      <c r="L10" s="18" t="n">
        <f aca="false">L7*Assumptions!B$11</f>
        <v>6484.35615025001</v>
      </c>
      <c r="M10" s="18" t="n">
        <f aca="false">M7*Assumptions!B$11</f>
        <v>7132.79176527501</v>
      </c>
      <c r="N10" s="18" t="n">
        <f aca="false">N7*Assumptions!C$11</f>
        <v>14129.6916289797</v>
      </c>
      <c r="O10" s="18" t="n">
        <f aca="false">O7*Assumptions!C$11</f>
        <v>15401.3638755879</v>
      </c>
      <c r="P10" s="18" t="n">
        <f aca="false">P7*Assumptions!C$11</f>
        <v>16787.4866243908</v>
      </c>
      <c r="Q10" s="18" t="n">
        <f aca="false">Q7*Assumptions!C$11</f>
        <v>18298.360420586</v>
      </c>
      <c r="R10" s="18" t="n">
        <f aca="false">R7*Assumptions!C$11</f>
        <v>19945.2128584387</v>
      </c>
      <c r="S10" s="18" t="n">
        <f aca="false">S7*Assumptions!C$11</f>
        <v>21740.2820156982</v>
      </c>
      <c r="T10" s="18" t="n">
        <f aca="false">T7*Assumptions!C$11</f>
        <v>23696.907397111</v>
      </c>
      <c r="U10" s="18" t="n">
        <f aca="false">U7*Assumptions!C$11</f>
        <v>25829.629062851</v>
      </c>
      <c r="V10" s="18" t="n">
        <f aca="false">V7*Assumptions!C$11</f>
        <v>28154.2956785076</v>
      </c>
      <c r="W10" s="18" t="n">
        <f aca="false">W7*Assumptions!C$11</f>
        <v>30688.1822895733</v>
      </c>
      <c r="X10" s="18" t="n">
        <f aca="false">X7*Assumptions!C$11</f>
        <v>33450.1186956349</v>
      </c>
      <c r="Y10" s="18" t="n">
        <f aca="false">Y7*Assumptions!C$11</f>
        <v>36460.6293782421</v>
      </c>
      <c r="Z10" s="18" t="n">
        <f aca="false">Z7*Assumptions!D$11</f>
        <v>53915.0190071722</v>
      </c>
      <c r="AA10" s="18" t="n">
        <f aca="false">AA7*Assumptions!D$11</f>
        <v>57689.0703376742</v>
      </c>
      <c r="AB10" s="18" t="n">
        <f aca="false">AB7*Assumptions!D$11</f>
        <v>61727.3052613114</v>
      </c>
      <c r="AC10" s="18" t="n">
        <f aca="false">AC7*Assumptions!D$11</f>
        <v>66048.2166296032</v>
      </c>
      <c r="AD10" s="18" t="n">
        <f aca="false">AD7*Assumptions!D$11</f>
        <v>70671.5917936755</v>
      </c>
      <c r="AE10" s="18" t="n">
        <f aca="false">AE7*Assumptions!D$11</f>
        <v>75618.6032192328</v>
      </c>
      <c r="AF10" s="18" t="n">
        <f aca="false">AF7*Assumptions!D$11</f>
        <v>80911.905444579</v>
      </c>
      <c r="AG10" s="18" t="n">
        <f aca="false">AG7*Assumptions!D$11</f>
        <v>86575.7388256996</v>
      </c>
      <c r="AH10" s="18" t="n">
        <f aca="false">AH7*Assumptions!D$11</f>
        <v>92636.0405434986</v>
      </c>
      <c r="AI10" s="18" t="n">
        <f aca="false">AI7*Assumptions!D$11</f>
        <v>99120.5633815435</v>
      </c>
      <c r="AJ10" s="18" t="n">
        <f aca="false">AJ7*Assumptions!D$11</f>
        <v>106059.002818252</v>
      </c>
      <c r="AK10" s="18" t="n">
        <f aca="false">AK7*Assumptions!D$11</f>
        <v>113483.133015529</v>
      </c>
      <c r="AL10" s="18" t="n">
        <f aca="false">AL7*Assumptions!E$11</f>
        <v>136179.759618635</v>
      </c>
      <c r="AM10" s="18" t="n">
        <f aca="false">AM7*Assumptions!E$11</f>
        <v>142988.747599567</v>
      </c>
      <c r="AN10" s="18" t="n">
        <f aca="false">AN7*Assumptions!E$11</f>
        <v>150138.184979545</v>
      </c>
      <c r="AO10" s="18" t="n">
        <f aca="false">AO7*Assumptions!E$11</f>
        <v>157645.094228522</v>
      </c>
      <c r="AP10" s="18" t="n">
        <f aca="false">AP7*Assumptions!E$11</f>
        <v>165527.348939948</v>
      </c>
      <c r="AQ10" s="18" t="n">
        <f aca="false">AQ7*Assumptions!E$11</f>
        <v>173803.716386946</v>
      </c>
      <c r="AR10" s="18" t="n">
        <f aca="false">AR7*Assumptions!E$11</f>
        <v>182493.902206293</v>
      </c>
      <c r="AS10" s="18" t="n">
        <f aca="false">AS7*Assumptions!E$11</f>
        <v>191618.597316608</v>
      </c>
      <c r="AT10" s="18" t="n">
        <f aca="false">AT7*Assumptions!E$11</f>
        <v>201199.527182438</v>
      </c>
      <c r="AU10" s="18" t="n">
        <f aca="false">AU7*Assumptions!E$11</f>
        <v>211259.50354156</v>
      </c>
      <c r="AV10" s="18" t="n">
        <f aca="false">AV7*Assumptions!E$11</f>
        <v>221822.478718638</v>
      </c>
      <c r="AW10" s="18" t="n">
        <f aca="false">AW7*Assumptions!E$11</f>
        <v>232913.60265457</v>
      </c>
    </row>
    <row r="12" customFormat="false" ht="15" hidden="false" customHeight="false" outlineLevel="0" collapsed="false">
      <c r="A12" s="5" t="s">
        <v>54</v>
      </c>
      <c r="B12" s="17" t="n">
        <f aca="false">Assumptions!B12</f>
        <v>40000</v>
      </c>
      <c r="C12" s="18" t="n">
        <f aca="false">B12*(1+Assumptions!B$13)</f>
        <v>46000</v>
      </c>
      <c r="D12" s="18" t="n">
        <f aca="false">C12*(1+Assumptions!B$13)</f>
        <v>52900</v>
      </c>
      <c r="E12" s="18" t="n">
        <f aca="false">D12*(1+Assumptions!B$13)</f>
        <v>60835</v>
      </c>
      <c r="F12" s="18" t="n">
        <f aca="false">E12*(1+Assumptions!B$13)</f>
        <v>69960.25</v>
      </c>
      <c r="G12" s="18" t="n">
        <f aca="false">F12*(1+Assumptions!B$13)</f>
        <v>80454.2875</v>
      </c>
      <c r="H12" s="18" t="n">
        <f aca="false">G12*(1+Assumptions!B$13)</f>
        <v>92522.430625</v>
      </c>
      <c r="I12" s="18" t="n">
        <f aca="false">H12*(1+Assumptions!B$13)</f>
        <v>106400.79521875</v>
      </c>
      <c r="J12" s="18" t="n">
        <f aca="false">I12*(1+Assumptions!B$13)</f>
        <v>122360.914501562</v>
      </c>
      <c r="K12" s="18" t="n">
        <f aca="false">J12*(1+Assumptions!B$13)</f>
        <v>140715.051676797</v>
      </c>
      <c r="L12" s="18" t="n">
        <f aca="false">K12*(1+Assumptions!B$13)</f>
        <v>161822.309428316</v>
      </c>
      <c r="M12" s="18" t="n">
        <f aca="false">L12*(1+Assumptions!B$13)</f>
        <v>186095.655842564</v>
      </c>
      <c r="N12" s="18" t="n">
        <f aca="false">M12*(1+Assumptions!C$13)</f>
        <v>208427.134543671</v>
      </c>
      <c r="O12" s="18" t="n">
        <f aca="false">N12*(1+Assumptions!C$13)</f>
        <v>233438.390688912</v>
      </c>
      <c r="P12" s="18" t="n">
        <f aca="false">O12*(1+Assumptions!C$13)</f>
        <v>261450.997571581</v>
      </c>
      <c r="Q12" s="18" t="n">
        <f aca="false">P12*(1+Assumptions!C$13)</f>
        <v>292825.117280171</v>
      </c>
      <c r="R12" s="18" t="n">
        <f aca="false">Q12*(1+Assumptions!C$13)</f>
        <v>327964.131353792</v>
      </c>
      <c r="S12" s="18" t="n">
        <f aca="false">R12*(1+Assumptions!C$13)</f>
        <v>367319.827116247</v>
      </c>
      <c r="T12" s="18" t="n">
        <f aca="false">S12*(1+Assumptions!C$13)</f>
        <v>411398.206370197</v>
      </c>
      <c r="U12" s="18" t="n">
        <f aca="false">T12*(1+Assumptions!C$13)</f>
        <v>460765.99113462</v>
      </c>
      <c r="V12" s="18" t="n">
        <f aca="false">U12*(1+Assumptions!C$13)</f>
        <v>516057.910070775</v>
      </c>
      <c r="W12" s="18" t="n">
        <f aca="false">V12*(1+Assumptions!C$13)</f>
        <v>577984.859279268</v>
      </c>
      <c r="X12" s="18" t="n">
        <f aca="false">W12*(1+Assumptions!C$13)</f>
        <v>647343.04239278</v>
      </c>
      <c r="Y12" s="18" t="n">
        <f aca="false">X12*(1+Assumptions!C$13)</f>
        <v>725024.207479913</v>
      </c>
      <c r="Z12" s="18" t="n">
        <f aca="false">Y12*(1+Assumptions!D$13)</f>
        <v>790276.386153106</v>
      </c>
      <c r="AA12" s="18" t="n">
        <f aca="false">Z12*(1+Assumptions!D$13)</f>
        <v>861401.260906885</v>
      </c>
      <c r="AB12" s="18" t="n">
        <f aca="false">AA12*(1+Assumptions!D$13)</f>
        <v>938927.374388505</v>
      </c>
      <c r="AC12" s="18" t="n">
        <f aca="false">AB12*(1+Assumptions!D$13)</f>
        <v>1023430.83808347</v>
      </c>
      <c r="AD12" s="18" t="n">
        <f aca="false">AC12*(1+Assumptions!D$13)</f>
        <v>1115539.61351098</v>
      </c>
      <c r="AE12" s="18" t="n">
        <f aca="false">AD12*(1+Assumptions!D$13)</f>
        <v>1215938.17872697</v>
      </c>
      <c r="AF12" s="18" t="n">
        <f aca="false">AE12*(1+Assumptions!D$13)</f>
        <v>1325372.6148124</v>
      </c>
      <c r="AG12" s="18" t="n">
        <f aca="false">AF12*(1+Assumptions!D$13)</f>
        <v>1444656.15014552</v>
      </c>
      <c r="AH12" s="18" t="n">
        <f aca="false">AG12*(1+Assumptions!D$13)</f>
        <v>1574675.20365861</v>
      </c>
      <c r="AI12" s="18" t="n">
        <f aca="false">AH12*(1+Assumptions!D$13)</f>
        <v>1716395.97198789</v>
      </c>
      <c r="AJ12" s="18" t="n">
        <f aca="false">AI12*(1+Assumptions!D$13)</f>
        <v>1870871.6094668</v>
      </c>
      <c r="AK12" s="18" t="n">
        <f aca="false">AJ12*(1+Assumptions!D$13)</f>
        <v>2039250.05431881</v>
      </c>
      <c r="AL12" s="18" t="n">
        <f aca="false">AK12*(1+Assumptions!E$13)</f>
        <v>2161605.05757794</v>
      </c>
      <c r="AM12" s="18" t="n">
        <f aca="false">AL12*(1+Assumptions!E$13)</f>
        <v>2291301.36103261</v>
      </c>
      <c r="AN12" s="18" t="n">
        <f aca="false">AM12*(1+Assumptions!E$13)</f>
        <v>2428779.44269457</v>
      </c>
      <c r="AO12" s="18" t="n">
        <f aca="false">AN12*(1+Assumptions!E$13)</f>
        <v>2574506.20925624</v>
      </c>
      <c r="AP12" s="18" t="n">
        <f aca="false">AO12*(1+Assumptions!E$13)</f>
        <v>2728976.58181162</v>
      </c>
      <c r="AQ12" s="18" t="n">
        <f aca="false">AP12*(1+Assumptions!E$13)</f>
        <v>2892715.17672032</v>
      </c>
      <c r="AR12" s="18" t="n">
        <f aca="false">AQ12*(1+Assumptions!E$13)</f>
        <v>3066278.08732354</v>
      </c>
      <c r="AS12" s="18" t="n">
        <f aca="false">AR12*(1+Assumptions!E$13)</f>
        <v>3250254.77256295</v>
      </c>
      <c r="AT12" s="18" t="n">
        <f aca="false">AS12*(1+Assumptions!E$13)</f>
        <v>3445270.05891672</v>
      </c>
      <c r="AU12" s="18" t="n">
        <f aca="false">AT12*(1+Assumptions!E$13)</f>
        <v>3651986.26245173</v>
      </c>
      <c r="AV12" s="18" t="n">
        <f aca="false">AU12*(1+Assumptions!E$13)</f>
        <v>3871105.43819883</v>
      </c>
      <c r="AW12" s="18" t="n">
        <f aca="false">AV12*(1+Assumptions!E$13)</f>
        <v>4103371.76449076</v>
      </c>
    </row>
    <row r="13" customFormat="false" ht="15" hidden="false" customHeight="false" outlineLevel="0" collapsed="false">
      <c r="A13" s="5" t="s">
        <v>55</v>
      </c>
      <c r="B13" s="18" t="n">
        <f aca="false">B12*Assumptions!B$14</f>
        <v>120000</v>
      </c>
      <c r="C13" s="18" t="n">
        <f aca="false">C12*Assumptions!B$14</f>
        <v>138000</v>
      </c>
      <c r="D13" s="18" t="n">
        <f aca="false">D12*Assumptions!B$14</f>
        <v>158700</v>
      </c>
      <c r="E13" s="18" t="n">
        <f aca="false">E12*Assumptions!B$14</f>
        <v>182505</v>
      </c>
      <c r="F13" s="18" t="n">
        <f aca="false">F12*Assumptions!B$14</f>
        <v>209880.75</v>
      </c>
      <c r="G13" s="18" t="n">
        <f aca="false">G12*Assumptions!B$14</f>
        <v>241362.8625</v>
      </c>
      <c r="H13" s="18" t="n">
        <f aca="false">H12*Assumptions!B$14</f>
        <v>277567.291875</v>
      </c>
      <c r="I13" s="18" t="n">
        <f aca="false">I12*Assumptions!B$14</f>
        <v>319202.38565625</v>
      </c>
      <c r="J13" s="18" t="n">
        <f aca="false">J12*Assumptions!B$14</f>
        <v>367082.743504687</v>
      </c>
      <c r="K13" s="18" t="n">
        <f aca="false">K12*Assumptions!B$14</f>
        <v>422145.15503039</v>
      </c>
      <c r="L13" s="18" t="n">
        <f aca="false">L12*Assumptions!B$14</f>
        <v>485466.928284949</v>
      </c>
      <c r="M13" s="18" t="n">
        <f aca="false">M12*Assumptions!B$14</f>
        <v>558286.967527691</v>
      </c>
      <c r="N13" s="18" t="n">
        <f aca="false">N12*Assumptions!C$14</f>
        <v>625281.403631014</v>
      </c>
      <c r="O13" s="18" t="n">
        <f aca="false">O12*Assumptions!C$14</f>
        <v>700315.172066736</v>
      </c>
      <c r="P13" s="18" t="n">
        <f aca="false">P12*Assumptions!C$14</f>
        <v>784352.992714744</v>
      </c>
      <c r="Q13" s="18" t="n">
        <f aca="false">Q12*Assumptions!C$14</f>
        <v>878475.351840514</v>
      </c>
      <c r="R13" s="18" t="n">
        <f aca="false">R12*Assumptions!C$14</f>
        <v>983892.394061375</v>
      </c>
      <c r="S13" s="18" t="n">
        <f aca="false">S12*Assumptions!C$14</f>
        <v>1101959.48134874</v>
      </c>
      <c r="T13" s="18" t="n">
        <f aca="false">T12*Assumptions!C$14</f>
        <v>1234194.61911059</v>
      </c>
      <c r="U13" s="18" t="n">
        <f aca="false">U12*Assumptions!C$14</f>
        <v>1382297.97340386</v>
      </c>
      <c r="V13" s="18" t="n">
        <f aca="false">V12*Assumptions!C$14</f>
        <v>1548173.73021232</v>
      </c>
      <c r="W13" s="18" t="n">
        <f aca="false">W12*Assumptions!C$14</f>
        <v>1733954.5778378</v>
      </c>
      <c r="X13" s="18" t="n">
        <f aca="false">X12*Assumptions!C$14</f>
        <v>1942029.12717834</v>
      </c>
      <c r="Y13" s="18" t="n">
        <f aca="false">Y12*Assumptions!C$14</f>
        <v>2175072.62243974</v>
      </c>
      <c r="Z13" s="18" t="n">
        <f aca="false">Z12*Assumptions!D$14</f>
        <v>3161105.54461242</v>
      </c>
      <c r="AA13" s="18" t="n">
        <f aca="false">AA12*Assumptions!D$14</f>
        <v>3445605.04362754</v>
      </c>
      <c r="AB13" s="18" t="n">
        <f aca="false">AB12*Assumptions!D$14</f>
        <v>3755709.49755402</v>
      </c>
      <c r="AC13" s="18" t="n">
        <f aca="false">AC12*Assumptions!D$14</f>
        <v>4093723.35233388</v>
      </c>
      <c r="AD13" s="18" t="n">
        <f aca="false">AD12*Assumptions!D$14</f>
        <v>4462158.45404393</v>
      </c>
      <c r="AE13" s="18" t="n">
        <f aca="false">AE12*Assumptions!D$14</f>
        <v>4863752.71490789</v>
      </c>
      <c r="AF13" s="18" t="n">
        <f aca="false">AF12*Assumptions!D$14</f>
        <v>5301490.4592496</v>
      </c>
      <c r="AG13" s="18" t="n">
        <f aca="false">AG12*Assumptions!D$14</f>
        <v>5778624.60058206</v>
      </c>
      <c r="AH13" s="18" t="n">
        <f aca="false">AH12*Assumptions!D$14</f>
        <v>6298700.81463445</v>
      </c>
      <c r="AI13" s="18" t="n">
        <f aca="false">AI12*Assumptions!D$14</f>
        <v>6865583.88795155</v>
      </c>
      <c r="AJ13" s="18" t="n">
        <f aca="false">AJ12*Assumptions!D$14</f>
        <v>7483486.43786719</v>
      </c>
      <c r="AK13" s="18" t="n">
        <f aca="false">AK12*Assumptions!D$14</f>
        <v>8157000.21727523</v>
      </c>
      <c r="AL13" s="18" t="n">
        <f aca="false">AL12*Assumptions!E$14</f>
        <v>8646420.23031175</v>
      </c>
      <c r="AM13" s="18" t="n">
        <f aca="false">AM12*Assumptions!E$14</f>
        <v>9165205.44413045</v>
      </c>
      <c r="AN13" s="18" t="n">
        <f aca="false">AN12*Assumptions!E$14</f>
        <v>9715117.77077828</v>
      </c>
      <c r="AO13" s="18" t="n">
        <f aca="false">AO12*Assumptions!E$14</f>
        <v>10298024.837025</v>
      </c>
      <c r="AP13" s="18" t="n">
        <f aca="false">AP12*Assumptions!E$14</f>
        <v>10915906.3272465</v>
      </c>
      <c r="AQ13" s="18" t="n">
        <f aca="false">AQ12*Assumptions!E$14</f>
        <v>11570860.7068813</v>
      </c>
      <c r="AR13" s="18" t="n">
        <f aca="false">AR12*Assumptions!E$14</f>
        <v>12265112.3492941</v>
      </c>
      <c r="AS13" s="18" t="n">
        <f aca="false">AS12*Assumptions!E$14</f>
        <v>13001019.0902518</v>
      </c>
      <c r="AT13" s="18" t="n">
        <f aca="false">AT12*Assumptions!E$14</f>
        <v>13781080.2356669</v>
      </c>
      <c r="AU13" s="18" t="n">
        <f aca="false">AU12*Assumptions!E$14</f>
        <v>14607945.0498069</v>
      </c>
      <c r="AV13" s="18" t="n">
        <f aca="false">AV12*Assumptions!E$14</f>
        <v>15484421.7527953</v>
      </c>
      <c r="AW13" s="18" t="n">
        <f aca="false">AW12*Assumptions!E$14</f>
        <v>16413487.057963</v>
      </c>
    </row>
    <row r="14" customFormat="false" ht="15" hidden="false" customHeight="false" outlineLevel="0" collapsed="false">
      <c r="A14" s="5" t="s">
        <v>56</v>
      </c>
      <c r="B14" s="18" t="n">
        <f aca="false">B13/1000*Assumptions!B$15</f>
        <v>540</v>
      </c>
      <c r="C14" s="18" t="n">
        <f aca="false">C13/1000*Assumptions!B$15</f>
        <v>621</v>
      </c>
      <c r="D14" s="18" t="n">
        <f aca="false">D13/1000*Assumptions!B$15</f>
        <v>714.15</v>
      </c>
      <c r="E14" s="18" t="n">
        <f aca="false">E13/1000*Assumptions!B$15</f>
        <v>821.2725</v>
      </c>
      <c r="F14" s="18" t="n">
        <f aca="false">F13/1000*Assumptions!B$15</f>
        <v>944.463375</v>
      </c>
      <c r="G14" s="18" t="n">
        <f aca="false">G13/1000*Assumptions!B$15</f>
        <v>1086.13288125</v>
      </c>
      <c r="H14" s="18" t="n">
        <f aca="false">H13/1000*Assumptions!B$15</f>
        <v>1249.0528134375</v>
      </c>
      <c r="I14" s="18" t="n">
        <f aca="false">I13/1000*Assumptions!B$15</f>
        <v>1436.41073545312</v>
      </c>
      <c r="J14" s="18" t="n">
        <f aca="false">J13/1000*Assumptions!B$15</f>
        <v>1651.87234577109</v>
      </c>
      <c r="K14" s="18" t="n">
        <f aca="false">K13/1000*Assumptions!B$15</f>
        <v>1899.65319763676</v>
      </c>
      <c r="L14" s="18" t="n">
        <f aca="false">L13/1000*Assumptions!B$15</f>
        <v>2184.60117728227</v>
      </c>
      <c r="M14" s="18" t="n">
        <f aca="false">M13/1000*Assumptions!B$15</f>
        <v>2512.29135387461</v>
      </c>
      <c r="N14" s="18" t="n">
        <f aca="false">N13/1000*Assumptions!C$15</f>
        <v>2813.76631633956</v>
      </c>
      <c r="O14" s="18" t="n">
        <f aca="false">O13/1000*Assumptions!C$15</f>
        <v>3151.41827430031</v>
      </c>
      <c r="P14" s="18" t="n">
        <f aca="false">P13/1000*Assumptions!C$15</f>
        <v>3529.58846721635</v>
      </c>
      <c r="Q14" s="18" t="n">
        <f aca="false">Q13/1000*Assumptions!C$15</f>
        <v>3953.13908328231</v>
      </c>
      <c r="R14" s="18" t="n">
        <f aca="false">R13/1000*Assumptions!C$15</f>
        <v>4427.51577327619</v>
      </c>
      <c r="S14" s="18" t="n">
        <f aca="false">S13/1000*Assumptions!C$15</f>
        <v>4958.81766606933</v>
      </c>
      <c r="T14" s="18" t="n">
        <f aca="false">T13/1000*Assumptions!C$15</f>
        <v>5553.87578599765</v>
      </c>
      <c r="U14" s="18" t="n">
        <f aca="false">U13/1000*Assumptions!C$15</f>
        <v>6220.34088031737</v>
      </c>
      <c r="V14" s="18" t="n">
        <f aca="false">V13/1000*Assumptions!C$15</f>
        <v>6966.78178595546</v>
      </c>
      <c r="W14" s="18" t="n">
        <f aca="false">W13/1000*Assumptions!C$15</f>
        <v>7802.79560027011</v>
      </c>
      <c r="X14" s="18" t="n">
        <f aca="false">X13/1000*Assumptions!C$15</f>
        <v>8739.13107230253</v>
      </c>
      <c r="Y14" s="18" t="n">
        <f aca="false">Y13/1000*Assumptions!C$15</f>
        <v>9787.82680097883</v>
      </c>
      <c r="Z14" s="18" t="n">
        <f aca="false">Z13/1000*Assumptions!D$15</f>
        <v>15805.5277230621</v>
      </c>
      <c r="AA14" s="18" t="n">
        <f aca="false">AA13/1000*Assumptions!D$15</f>
        <v>17228.0252181377</v>
      </c>
      <c r="AB14" s="18" t="n">
        <f aca="false">AB13/1000*Assumptions!D$15</f>
        <v>18778.5474877701</v>
      </c>
      <c r="AC14" s="18" t="n">
        <f aca="false">AC13/1000*Assumptions!D$15</f>
        <v>20468.6167616694</v>
      </c>
      <c r="AD14" s="18" t="n">
        <f aca="false">AD13/1000*Assumptions!D$15</f>
        <v>22310.7922702197</v>
      </c>
      <c r="AE14" s="18" t="n">
        <f aca="false">AE13/1000*Assumptions!D$15</f>
        <v>24318.7635745394</v>
      </c>
      <c r="AF14" s="18" t="n">
        <f aca="false">AF13/1000*Assumptions!D$15</f>
        <v>26507.452296248</v>
      </c>
      <c r="AG14" s="18" t="n">
        <f aca="false">AG13/1000*Assumptions!D$15</f>
        <v>28893.1230029103</v>
      </c>
      <c r="AH14" s="18" t="n">
        <f aca="false">AH13/1000*Assumptions!D$15</f>
        <v>31493.5040731722</v>
      </c>
      <c r="AI14" s="18" t="n">
        <f aca="false">AI13/1000*Assumptions!D$15</f>
        <v>34327.9194397577</v>
      </c>
      <c r="AJ14" s="18" t="n">
        <f aca="false">AJ13/1000*Assumptions!D$15</f>
        <v>37417.4321893359</v>
      </c>
      <c r="AK14" s="18" t="n">
        <f aca="false">AK13/1000*Assumptions!D$15</f>
        <v>40785.0010863762</v>
      </c>
      <c r="AL14" s="18" t="n">
        <f aca="false">AL13/1000*Assumptions!E$15</f>
        <v>47555.3112667146</v>
      </c>
      <c r="AM14" s="18" t="n">
        <f aca="false">AM13/1000*Assumptions!E$15</f>
        <v>50408.6299427175</v>
      </c>
      <c r="AN14" s="18" t="n">
        <f aca="false">AN13/1000*Assumptions!E$15</f>
        <v>53433.1477392805</v>
      </c>
      <c r="AO14" s="18" t="n">
        <f aca="false">AO13/1000*Assumptions!E$15</f>
        <v>56639.1366036374</v>
      </c>
      <c r="AP14" s="18" t="n">
        <f aca="false">AP13/1000*Assumptions!E$15</f>
        <v>60037.4847998556</v>
      </c>
      <c r="AQ14" s="18" t="n">
        <f aca="false">AQ13/1000*Assumptions!E$15</f>
        <v>63639.7338878469</v>
      </c>
      <c r="AR14" s="18" t="n">
        <f aca="false">AR13/1000*Assumptions!E$15</f>
        <v>67458.1179211178</v>
      </c>
      <c r="AS14" s="18" t="n">
        <f aca="false">AS13/1000*Assumptions!E$15</f>
        <v>71505.6049963849</v>
      </c>
      <c r="AT14" s="18" t="n">
        <f aca="false">AT13/1000*Assumptions!E$15</f>
        <v>75795.941296168</v>
      </c>
      <c r="AU14" s="18" t="n">
        <f aca="false">AU13/1000*Assumptions!E$15</f>
        <v>80343.697773938</v>
      </c>
      <c r="AV14" s="18" t="n">
        <f aca="false">AV13/1000*Assumptions!E$15</f>
        <v>85164.3196403743</v>
      </c>
      <c r="AW14" s="18" t="n">
        <f aca="false">AW13/1000*Assumptions!E$15</f>
        <v>90274.1788187968</v>
      </c>
    </row>
    <row r="16" customFormat="false" ht="15" hidden="false" customHeight="false" outlineLevel="0" collapsed="false">
      <c r="A16" s="5" t="s">
        <v>57</v>
      </c>
      <c r="B16" s="17" t="n">
        <f aca="false">Assumptions!B$16</f>
        <v>27500</v>
      </c>
      <c r="C16" s="17" t="n">
        <f aca="false">Assumptions!B$16</f>
        <v>27500</v>
      </c>
      <c r="D16" s="17" t="n">
        <f aca="false">Assumptions!B$16</f>
        <v>27500</v>
      </c>
      <c r="E16" s="17" t="n">
        <f aca="false">Assumptions!B$16</f>
        <v>27500</v>
      </c>
      <c r="F16" s="17" t="n">
        <f aca="false">Assumptions!B$16</f>
        <v>27500</v>
      </c>
      <c r="G16" s="17" t="n">
        <f aca="false">Assumptions!B$16</f>
        <v>27500</v>
      </c>
      <c r="H16" s="17" t="n">
        <f aca="false">Assumptions!B$16</f>
        <v>27500</v>
      </c>
      <c r="I16" s="17" t="n">
        <f aca="false">Assumptions!B$16</f>
        <v>27500</v>
      </c>
      <c r="J16" s="17" t="n">
        <f aca="false">Assumptions!B$16</f>
        <v>27500</v>
      </c>
      <c r="K16" s="17" t="n">
        <f aca="false">Assumptions!B$16</f>
        <v>27500</v>
      </c>
      <c r="L16" s="17" t="n">
        <f aca="false">Assumptions!B$16</f>
        <v>27500</v>
      </c>
      <c r="M16" s="17" t="n">
        <f aca="false">Assumptions!B$16</f>
        <v>27500</v>
      </c>
      <c r="N16" s="17" t="n">
        <f aca="false">Assumptions!C$16</f>
        <v>45000</v>
      </c>
      <c r="O16" s="17" t="n">
        <f aca="false">Assumptions!C$16</f>
        <v>45000</v>
      </c>
      <c r="P16" s="17" t="n">
        <f aca="false">Assumptions!C$16</f>
        <v>45000</v>
      </c>
      <c r="Q16" s="17" t="n">
        <f aca="false">Assumptions!C$16</f>
        <v>45000</v>
      </c>
      <c r="R16" s="17" t="n">
        <f aca="false">Assumptions!C$16</f>
        <v>45000</v>
      </c>
      <c r="S16" s="17" t="n">
        <f aca="false">Assumptions!C$16</f>
        <v>45000</v>
      </c>
      <c r="T16" s="17" t="n">
        <f aca="false">Assumptions!C$16</f>
        <v>45000</v>
      </c>
      <c r="U16" s="17" t="n">
        <f aca="false">Assumptions!C$16</f>
        <v>45000</v>
      </c>
      <c r="V16" s="17" t="n">
        <f aca="false">Assumptions!C$16</f>
        <v>45000</v>
      </c>
      <c r="W16" s="17" t="n">
        <f aca="false">Assumptions!C$16</f>
        <v>45000</v>
      </c>
      <c r="X16" s="17" t="n">
        <f aca="false">Assumptions!C$16</f>
        <v>45000</v>
      </c>
      <c r="Y16" s="17" t="n">
        <f aca="false">Assumptions!C$16</f>
        <v>45000</v>
      </c>
      <c r="Z16" s="17" t="n">
        <f aca="false">Assumptions!D$16</f>
        <v>70000</v>
      </c>
      <c r="AA16" s="17" t="n">
        <f aca="false">Assumptions!D$16</f>
        <v>70000</v>
      </c>
      <c r="AB16" s="17" t="n">
        <f aca="false">Assumptions!D$16</f>
        <v>70000</v>
      </c>
      <c r="AC16" s="17" t="n">
        <f aca="false">Assumptions!D$16</f>
        <v>70000</v>
      </c>
      <c r="AD16" s="17" t="n">
        <f aca="false">Assumptions!D$16</f>
        <v>70000</v>
      </c>
      <c r="AE16" s="17" t="n">
        <f aca="false">Assumptions!D$16</f>
        <v>70000</v>
      </c>
      <c r="AF16" s="17" t="n">
        <f aca="false">Assumptions!D$16</f>
        <v>70000</v>
      </c>
      <c r="AG16" s="17" t="n">
        <f aca="false">Assumptions!D$16</f>
        <v>70000</v>
      </c>
      <c r="AH16" s="17" t="n">
        <f aca="false">Assumptions!D$16</f>
        <v>70000</v>
      </c>
      <c r="AI16" s="17" t="n">
        <f aca="false">Assumptions!D$16</f>
        <v>70000</v>
      </c>
      <c r="AJ16" s="17" t="n">
        <f aca="false">Assumptions!D$16</f>
        <v>70000</v>
      </c>
      <c r="AK16" s="17" t="n">
        <f aca="false">Assumptions!D$16</f>
        <v>70000</v>
      </c>
      <c r="AL16" s="17" t="n">
        <f aca="false">Assumptions!E$16</f>
        <v>100000</v>
      </c>
      <c r="AM16" s="17" t="n">
        <f aca="false">Assumptions!E$16</f>
        <v>100000</v>
      </c>
      <c r="AN16" s="17" t="n">
        <f aca="false">Assumptions!E$16</f>
        <v>100000</v>
      </c>
      <c r="AO16" s="17" t="n">
        <f aca="false">Assumptions!E$16</f>
        <v>100000</v>
      </c>
      <c r="AP16" s="17" t="n">
        <f aca="false">Assumptions!E$16</f>
        <v>100000</v>
      </c>
      <c r="AQ16" s="17" t="n">
        <f aca="false">Assumptions!E$16</f>
        <v>100000</v>
      </c>
      <c r="AR16" s="17" t="n">
        <f aca="false">Assumptions!E$16</f>
        <v>100000</v>
      </c>
      <c r="AS16" s="17" t="n">
        <f aca="false">Assumptions!E$16</f>
        <v>100000</v>
      </c>
      <c r="AT16" s="17" t="n">
        <f aca="false">Assumptions!E$16</f>
        <v>100000</v>
      </c>
      <c r="AU16" s="17" t="n">
        <f aca="false">Assumptions!E$16</f>
        <v>100000</v>
      </c>
      <c r="AV16" s="17" t="n">
        <f aca="false">Assumptions!E$16</f>
        <v>100000</v>
      </c>
      <c r="AW16" s="17" t="n">
        <f aca="false">Assumptions!E$16</f>
        <v>100000</v>
      </c>
    </row>
    <row r="18" customFormat="false" ht="15" hidden="false" customHeight="false" outlineLevel="0" collapsed="false">
      <c r="A18" s="16" t="s">
        <v>58</v>
      </c>
      <c r="B18" s="19" t="n">
        <f aca="false">B9+B10+B14+B16</f>
        <v>32040</v>
      </c>
      <c r="C18" s="19" t="n">
        <f aca="false">C9+C10+C14+C16</f>
        <v>32521</v>
      </c>
      <c r="D18" s="19" t="n">
        <f aca="false">D9+D10+D14+D16</f>
        <v>33054.15</v>
      </c>
      <c r="E18" s="19" t="n">
        <f aca="false">E9+E10+E14+E16</f>
        <v>33645.2725</v>
      </c>
      <c r="F18" s="19" t="n">
        <f aca="false">F9+F10+F14+F16</f>
        <v>34300.863375</v>
      </c>
      <c r="G18" s="19" t="n">
        <f aca="false">G9+G10+G14+G16</f>
        <v>35028.17288125</v>
      </c>
      <c r="H18" s="19" t="n">
        <f aca="false">H9+H10+H14+H16</f>
        <v>35835.2968134375</v>
      </c>
      <c r="I18" s="19" t="n">
        <f aca="false">I9+I10+I14+I16</f>
        <v>36731.2791354531</v>
      </c>
      <c r="J18" s="19" t="n">
        <f aca="false">J9+J10+J14+J16</f>
        <v>37726.2275857711</v>
      </c>
      <c r="K18" s="19" t="n">
        <f aca="false">K9+K10+K14+K16</f>
        <v>38831.4439616368</v>
      </c>
      <c r="L18" s="19" t="n">
        <f aca="false">L9+L10+L14+L16</f>
        <v>40059.5710176823</v>
      </c>
      <c r="M18" s="19" t="n">
        <f aca="false">M9+M10+M14+M16</f>
        <v>41424.7581783146</v>
      </c>
      <c r="N18" s="19" t="n">
        <f aca="false">N9+N10+N14+N16</f>
        <v>76367.5181499027</v>
      </c>
      <c r="O18" s="19" t="n">
        <f aca="false">O9+O10+O14+O16</f>
        <v>79275.0077728842</v>
      </c>
      <c r="P18" s="19" t="n">
        <f aca="false">P9+P10+P14+P16</f>
        <v>82454.3010206728</v>
      </c>
      <c r="Q18" s="19" t="n">
        <f aca="false">Q9+Q10+Q14+Q16</f>
        <v>85931.0757665498</v>
      </c>
      <c r="R18" s="19" t="n">
        <f aca="false">R9+R10+R14+R16</f>
        <v>89733.4667580377</v>
      </c>
      <c r="S18" s="19" t="n">
        <f aca="false">S9+S10+S14+S16</f>
        <v>93892.3042394594</v>
      </c>
      <c r="T18" s="19" t="n">
        <f aca="false">T9+T10+T14+T16</f>
        <v>98441.3761509929</v>
      </c>
      <c r="U18" s="19" t="n">
        <f aca="false">U9+U10+U14+U16</f>
        <v>103417.716278162</v>
      </c>
      <c r="V18" s="19" t="n">
        <f aca="false">V9+V10+V14+V16</f>
        <v>108861.920969606</v>
      </c>
      <c r="W18" s="19" t="n">
        <f aca="false">W9+W10+W14+W16</f>
        <v>114818.49731045</v>
      </c>
      <c r="X18" s="19" t="n">
        <f aca="false">X9+X10+X14+X16</f>
        <v>121336.245936398</v>
      </c>
      <c r="Y18" s="19" t="n">
        <f aca="false">Y9+Y10+Y14+Y16</f>
        <v>128468.682002843</v>
      </c>
      <c r="Z18" s="19" t="n">
        <f aca="false">Z9+Z10+Z14+Z16</f>
        <v>201337.71130986</v>
      </c>
      <c r="AA18" s="19" t="n">
        <f aca="false">AA9+AA10+AA14+AA16</f>
        <v>210847.461656011</v>
      </c>
      <c r="AB18" s="19" t="n">
        <f aca="false">AB9+AB10+AB14+AB16</f>
        <v>221051.344476295</v>
      </c>
      <c r="AC18" s="19" t="n">
        <f aca="false">AC9+AC10+AC14+AC16</f>
        <v>232000.509539391</v>
      </c>
      <c r="AD18" s="19" t="n">
        <f aca="false">AD9+AD10+AD14+AD16</f>
        <v>243749.917542381</v>
      </c>
      <c r="AE18" s="19" t="n">
        <f aca="false">AE9+AE10+AE14+AE16</f>
        <v>256358.627615752</v>
      </c>
      <c r="AF18" s="19" t="n">
        <f aca="false">AF9+AF10+AF14+AF16</f>
        <v>269890.106820346</v>
      </c>
      <c r="AG18" s="19" t="n">
        <f aca="false">AG9+AG10+AG14+AG16</f>
        <v>284412.563343695</v>
      </c>
      <c r="AH18" s="19" t="n">
        <f aca="false">AH9+AH10+AH14+AH16</f>
        <v>299999.305237812</v>
      </c>
      <c r="AI18" s="19" t="n">
        <f aca="false">AI9+AI10+AI14+AI16</f>
        <v>316729.126685922</v>
      </c>
      <c r="AJ18" s="19" t="n">
        <f aca="false">AJ9+AJ10+AJ14+AJ16</f>
        <v>334686.723942732</v>
      </c>
      <c r="AK18" s="19" t="n">
        <f aca="false">AK9+AK10+AK14+AK16</f>
        <v>353963.14326251</v>
      </c>
      <c r="AL18" s="19" t="n">
        <f aca="false">AL9+AL10+AL14+AL16</f>
        <v>456087.579152684</v>
      </c>
      <c r="AM18" s="19" t="n">
        <f aca="false">AM9+AM10+AM14+AM16</f>
        <v>474367.511222986</v>
      </c>
      <c r="AN18" s="19" t="n">
        <f aca="false">AN9+AN10+AN14+AN16</f>
        <v>493589.973083562</v>
      </c>
      <c r="AO18" s="19" t="n">
        <f aca="false">AO9+AO10+AO14+AO16</f>
        <v>513803.803215133</v>
      </c>
      <c r="AP18" s="19" t="n">
        <f aca="false">AP9+AP10+AP14+AP16</f>
        <v>535060.384741926</v>
      </c>
      <c r="AQ18" s="19" t="n">
        <f aca="false">AQ9+AQ10+AQ14+AQ16</f>
        <v>557413.778827021</v>
      </c>
      <c r="AR18" s="19" t="n">
        <f aca="false">AR9+AR10+AR14+AR16</f>
        <v>580920.865107251</v>
      </c>
      <c r="AS18" s="19" t="n">
        <f aca="false">AS9+AS10+AS14+AS16</f>
        <v>605641.489541824</v>
      </c>
      <c r="AT18" s="19" t="n">
        <f aca="false">AT9+AT10+AT14+AT16</f>
        <v>631638.62006888</v>
      </c>
      <c r="AU18" s="19" t="n">
        <f aca="false">AU9+AU10+AU14+AU16</f>
        <v>658978.510485285</v>
      </c>
      <c r="AV18" s="19" t="n">
        <f aca="false">AV9+AV10+AV14+AV16</f>
        <v>687730.872987289</v>
      </c>
      <c r="AW18" s="19" t="n">
        <f aca="false">AW9+AW10+AW14+AW16</f>
        <v>717969.059833057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3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9" t="s">
        <v>61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62</v>
      </c>
    </row>
    <row r="5" customFormat="false" ht="15" hidden="false" customHeight="false" outlineLevel="0" collapsed="false">
      <c r="A5" s="5" t="s">
        <v>63</v>
      </c>
      <c r="B5" s="17" t="n">
        <f aca="false">SUM('Revenue Build'!B9:M9)</f>
        <v>32076.425650815</v>
      </c>
      <c r="C5" s="17" t="n">
        <f aca="false">SUM('Revenue Build'!N9:Y9)</f>
        <v>290510.954924051</v>
      </c>
      <c r="D5" s="17" t="n">
        <f aca="false">SUM('Revenue Build'!Z9:AK9)</f>
        <v>1102235.64603174</v>
      </c>
      <c r="E5" s="17" t="n">
        <f aca="false">SUM('Revenue Build'!AL9:AW9)</f>
        <v>2743356.6802068</v>
      </c>
      <c r="F5" s="18" t="n">
        <f aca="false">SUM(B5:E5)</f>
        <v>4168179.7068134</v>
      </c>
    </row>
    <row r="6" customFormat="false" ht="15" hidden="false" customHeight="false" outlineLevel="0" collapsed="false">
      <c r="A6" s="5" t="s">
        <v>64</v>
      </c>
      <c r="B6" s="17" t="n">
        <f aca="false">SUM('Revenue Build'!B10:M10)</f>
        <v>53460.709418025</v>
      </c>
      <c r="C6" s="17" t="n">
        <f aca="false">SUM('Revenue Build'!N10:Y10)</f>
        <v>284582.159925601</v>
      </c>
      <c r="D6" s="17" t="n">
        <f aca="false">SUM('Revenue Build'!Z10:AK10)</f>
        <v>964456.190277771</v>
      </c>
      <c r="E6" s="17" t="n">
        <f aca="false">SUM('Revenue Build'!AL10:AW10)</f>
        <v>2167590.46337327</v>
      </c>
      <c r="F6" s="18" t="n">
        <f aca="false">SUM(B6:E6)</f>
        <v>3470089.52299467</v>
      </c>
    </row>
    <row r="7" customFormat="false" ht="15" hidden="false" customHeight="false" outlineLevel="0" collapsed="false">
      <c r="A7" s="5" t="s">
        <v>65</v>
      </c>
      <c r="B7" s="17" t="n">
        <f aca="false">SUM('Revenue Build'!B14:M14)</f>
        <v>15660.9003797053</v>
      </c>
      <c r="C7" s="17" t="n">
        <f aca="false">SUM('Revenue Build'!N14:Y14)</f>
        <v>67904.997506306</v>
      </c>
      <c r="D7" s="17" t="n">
        <f aca="false">SUM('Revenue Build'!Z14:AK14)</f>
        <v>318334.705123199</v>
      </c>
      <c r="E7" s="17" t="n">
        <f aca="false">SUM('Revenue Build'!AL14:AW14)</f>
        <v>802255.304686832</v>
      </c>
      <c r="F7" s="18" t="n">
        <f aca="false">SUM(B7:E7)</f>
        <v>1204155.90769604</v>
      </c>
    </row>
    <row r="8" customFormat="false" ht="15" hidden="false" customHeight="false" outlineLevel="0" collapsed="false">
      <c r="A8" s="5" t="s">
        <v>66</v>
      </c>
      <c r="B8" s="17" t="n">
        <f aca="false">SUM('Revenue Build'!B16:M16)</f>
        <v>330000</v>
      </c>
      <c r="C8" s="17" t="n">
        <f aca="false">SUM('Revenue Build'!N16:Y16)</f>
        <v>540000</v>
      </c>
      <c r="D8" s="17" t="n">
        <f aca="false">SUM('Revenue Build'!Z16:AK16)</f>
        <v>840000</v>
      </c>
      <c r="E8" s="17" t="n">
        <f aca="false">SUM('Revenue Build'!AL16:AW16)</f>
        <v>1200000</v>
      </c>
      <c r="F8" s="18" t="n">
        <f aca="false">SUM(B8:E8)</f>
        <v>2910000</v>
      </c>
    </row>
    <row r="9" customFormat="false" ht="15" hidden="false" customHeight="false" outlineLevel="0" collapsed="false">
      <c r="A9" s="16" t="s">
        <v>67</v>
      </c>
      <c r="B9" s="19" t="n">
        <f aca="false">SUM('Revenue Build'!B18:M18)</f>
        <v>431198.035448545</v>
      </c>
      <c r="C9" s="19" t="n">
        <f aca="false">SUM('Revenue Build'!N18:Y18)</f>
        <v>1182998.11235596</v>
      </c>
      <c r="D9" s="19" t="n">
        <f aca="false">SUM('Revenue Build'!Z18:AK18)</f>
        <v>3225026.54143271</v>
      </c>
      <c r="E9" s="19" t="n">
        <f aca="false">SUM('Revenue Build'!AL18:AW18)</f>
        <v>6913202.4482669</v>
      </c>
      <c r="F9" s="19" t="n">
        <f aca="false">SUM(B9:E9)</f>
        <v>11752425.1375041</v>
      </c>
    </row>
    <row r="11" customFormat="false" ht="15" hidden="false" customHeight="false" outlineLevel="0" collapsed="false">
      <c r="A11" s="3" t="s">
        <v>68</v>
      </c>
    </row>
    <row r="12" customFormat="false" ht="15" hidden="false" customHeight="false" outlineLevel="0" collapsed="false">
      <c r="A12" s="5" t="s">
        <v>69</v>
      </c>
      <c r="B12" s="17" t="n">
        <f aca="false">'Revenue Build'!M7</f>
        <v>71327.9176527501</v>
      </c>
      <c r="C12" s="17" t="n">
        <f aca="false">'Revenue Build'!Y7</f>
        <v>303838.578152017</v>
      </c>
      <c r="D12" s="17" t="n">
        <f aca="false">'Revenue Build'!AK7</f>
        <v>810593.807253779</v>
      </c>
      <c r="E12" s="17" t="n">
        <f aca="false">'Revenue Build'!AW7</f>
        <v>1455710.01659106</v>
      </c>
    </row>
    <row r="13" customFormat="false" ht="15" hidden="false" customHeight="false" outlineLevel="0" collapsed="false">
      <c r="A13" s="5" t="s">
        <v>70</v>
      </c>
      <c r="B13" s="17" t="n">
        <f aca="false">'Revenue Build'!M18</f>
        <v>41424.7581783146</v>
      </c>
      <c r="C13" s="17" t="n">
        <f aca="false">'Revenue Build'!Y18</f>
        <v>128468.682002843</v>
      </c>
      <c r="D13" s="17" t="n">
        <f aca="false">'Revenue Build'!AK18</f>
        <v>353963.14326251</v>
      </c>
      <c r="E13" s="17" t="n">
        <f aca="false">'Revenue Build'!AW18</f>
        <v>717969.059833057</v>
      </c>
    </row>
    <row r="14" customFormat="false" ht="15" hidden="false" customHeight="false" outlineLevel="0" collapsed="false">
      <c r="A14" s="16" t="s">
        <v>71</v>
      </c>
      <c r="B14" s="19" t="n">
        <f aca="false">B13*12</f>
        <v>497097.098139775</v>
      </c>
      <c r="C14" s="19" t="n">
        <f aca="false">C13*12</f>
        <v>1541624.18403412</v>
      </c>
      <c r="D14" s="19" t="n">
        <f aca="false">D13*12</f>
        <v>4247557.71915012</v>
      </c>
      <c r="E14" s="19" t="n">
        <f aca="false">E13*12</f>
        <v>8615628.71799668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2026-07-27T14:27:49Z</dcterms:created>
  <dc:creator>openpyxl</dc:creator>
  <dc:description/>
  <dc:language>en-US</dc:language>
  <cp:lastModifiedBy/>
  <dcterms:modified xsi:type="dcterms:W3CDTF">2026-07-27T14:27:49Z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